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1" codeName="{3D1A710C-6663-3D7B-7F91-EC182F24A4B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xr:revisionPtr revIDLastSave="0" documentId="13_ncr:1_{010CCA8D-34C2-407F-9D9F-57CA5A30D131}" xr6:coauthVersionLast="36" xr6:coauthVersionMax="36" xr10:uidLastSave="{00000000-0000-0000-0000-000000000000}"/>
  <bookViews>
    <workbookView xWindow="0" yWindow="120" windowWidth="8495" windowHeight="4475" firstSheet="1" activeTab="2" xr2:uid="{00000000-000D-0000-FFFF-FFFF00000000}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r:id="rId5"/>
    <sheet name="Category" sheetId="5" state="hidden" r:id="rId6"/>
    <sheet name="Material EMC" sheetId="13" state="hidden" r:id="rId7"/>
    <sheet name="Material Cable" sheetId="7" state="hidden" r:id="rId8"/>
    <sheet name="Material Packing" sheetId="9" state="hidden" r:id="rId9"/>
    <sheet name="Material Electro-Mechanical" sheetId="10" state="hidden" r:id="rId10"/>
    <sheet name="Material Spec." sheetId="43" state="hidden" r:id="rId11"/>
    <sheet name="Die Cut Material &amp; Price" sheetId="7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1" hidden="1">#REF!</definedName>
    <definedName name="__123Graph_ABAL" localSheetId="7" hidden="1">#REF!</definedName>
    <definedName name="__123Graph_ABAL" localSheetId="3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1" hidden="1">#REF!</definedName>
    <definedName name="__123Graph_LBL_ABAL" localSheetId="7" hidden="1">#REF!</definedName>
    <definedName name="__123Graph_LBL_ABAL" localSheetId="3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1" hidden="1">#REF!</definedName>
    <definedName name="__123Graph_XBAL" localSheetId="7" hidden="1">#REF!</definedName>
    <definedName name="__123Graph_XBAL" localSheetId="3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1" hidden="1">#REF!</definedName>
    <definedName name="_Fill" localSheetId="7" hidden="1">#REF!</definedName>
    <definedName name="_Fill" localSheetId="3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1" hidden="1">'Die Cut Material &amp; Price'!$E$97:$N$109</definedName>
    <definedName name="_xlnm._FilterDatabase" localSheetId="3" hidden="1">'[2]Issues List'!#REF!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1" hidden="1">#REF!</definedName>
    <definedName name="_Key1" localSheetId="7" hidden="1">#REF!</definedName>
    <definedName name="_Key1" localSheetId="3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1" hidden="1">#REF!</definedName>
    <definedName name="_Key2" localSheetId="7" hidden="1">#REF!</definedName>
    <definedName name="_Key2" localSheetId="3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1" hidden="1">#REF!</definedName>
    <definedName name="_Sort" localSheetId="7" hidden="1">#REF!</definedName>
    <definedName name="_Sort" localSheetId="3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35percent_PCR">'Material Housing'!$C$219:$C$221</definedName>
    <definedName name="ABS_65percent_PCR">'Material Housing'!$C$222:$C$225</definedName>
    <definedName name="ABS_HB">'Material Housing'!$C$214:$C$218</definedName>
    <definedName name="ABS_with_28percent_PCR">'Material Housing'!$L$16</definedName>
    <definedName name="ABS_with_50percent_PCR">'Material Housing'!$L$17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">'Material Spec.'!$C$2:$C$4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1" hidden="1">{"'MODIFY &amp; REPARE '!$B$1:$S$27"}</definedName>
    <definedName name="BEZEL" localSheetId="3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_GPU_BKT">'Material Spec.'!$B$2:$B$13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1" hidden="1">{#N/A,#N/A,FALSE,"MFI -MIDDLE COVER"}</definedName>
    <definedName name="DM5料件試產進度" localSheetId="3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Housing'!$A$2:$A$70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1" hidden="1">#REF!</definedName>
    <definedName name="ER" localSheetId="7" hidden="1">#REF!</definedName>
    <definedName name="ER" localSheetId="3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1" hidden="1">#REF!</definedName>
    <definedName name="ETYJ" localSheetId="7" hidden="1">#REF!</definedName>
    <definedName name="ETYJ" localSheetId="3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1" hidden="1">#REF!</definedName>
    <definedName name="EYJ" localSheetId="7" hidden="1">#REF!</definedName>
    <definedName name="EYJ" localSheetId="3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1" hidden="1">'[4]Issues List'!#REF!</definedName>
    <definedName name="fdsfsdfdsf" localSheetId="3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Housing'!$C$2:$C$3</definedName>
    <definedName name="FR_PC_Diffusion_擴散">'Material Housing'!$C$6:$C$7</definedName>
    <definedName name="FR_PC_Translucent">'Material Housing'!$C$4:$C$5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1" hidden="1">{"'MODIFY &amp; REPARE '!$B$1:$S$27"}</definedName>
    <definedName name="ggg" localSheetId="3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DD_SSD_BKT">'Material Spec.'!$B$2:$B$13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1" hidden="1">'[4]Issues List'!#REF!</definedName>
    <definedName name="hhjhh" localSheetId="3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1" hidden="1">{"'MODIFY &amp; REPARE '!$B$1:$S$27"}</definedName>
    <definedName name="HTML_Control" localSheetId="3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1" hidden="1">#REF!</definedName>
    <definedName name="HWJH5W3" localSheetId="7" hidden="1">#REF!</definedName>
    <definedName name="HWJH5W3" localSheetId="3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Housing'!$A$2:$A$70</definedName>
    <definedName name="Insert_Molding">'Material Housing'!$A$2:$A$70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1" hidden="1">'[4]Issues List'!#REF!</definedName>
    <definedName name="jkjij" localSheetId="3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1" hidden="1">{#N/A,#N/A,FALSE,"MFI -MIDDLE COVER"}</definedName>
    <definedName name="LD" localSheetId="3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EMC'!$H$3:$H$5</definedName>
    <definedName name="ME_Others">Category!$E$86:$E$106</definedName>
    <definedName name="Medical">Category!$E$81:$E$85</definedName>
    <definedName name="Metal">'Material Spec.'!$B$2:$B$13</definedName>
    <definedName name="Metal密度" localSheetId="0">'[5]Material Density'!$A$2:$B$24</definedName>
    <definedName name="Metal密度">'Material Spec.'!$A$2:$A$24</definedName>
    <definedName name="Mylar_of_Mylar_Sponge_Poron">'Die Cut Material &amp; Price'!$B$3:$B$16</definedName>
    <definedName name="NB">Category!$B$3:$B$13</definedName>
    <definedName name="Non_FR_PC">'Material Housing'!$C$8:$C$9</definedName>
    <definedName name="Non_UL_Eco_Form">'Die Cut Material &amp; Price'!$B$441:$B$444</definedName>
    <definedName name="Non_ULGasket灰">'Die Cut Material &amp; Price'!$G$428</definedName>
    <definedName name="Non_ULGasket黑">'Die Cut Material &amp; Price'!$G$430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Spec.'!$F$2:$F$4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Housing'!$C$10:$C$11</definedName>
    <definedName name="PA1010_55percent_GF">'Material Housing'!$C$12:$C$13</definedName>
    <definedName name="PA6_">'Material Housing'!$L$58</definedName>
    <definedName name="Packing">Category!$E$49:$E$64</definedName>
    <definedName name="PAINTING">'Material Housing'!$A$2:$A$70</definedName>
    <definedName name="part" localSheetId="11" hidden="1">'[7]Issues List'!#REF!</definedName>
    <definedName name="part" localSheetId="3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Housing'!$L$64</definedName>
    <definedName name="PC">'Material Housing'!$C$14:$C$24</definedName>
    <definedName name="PC_10percent_GF">'Material Housing'!$C$34:$C$36</definedName>
    <definedName name="PC_10percent_GF_with_30percent_PCR">'Material Housing'!$C$37:$C$38</definedName>
    <definedName name="PC_15percent_CF">'Material Housing'!$C$39:$C$40</definedName>
    <definedName name="PC_20percent_CF">'Material Housing'!$C$41:$C$42</definedName>
    <definedName name="PC_20percent_CF_with_30percent_PCR">'Material Housing'!$C$43:$C$44</definedName>
    <definedName name="PC_20percent_GF">'Material Housing'!$C$45:$C$47</definedName>
    <definedName name="PC_25percent_GF">'Material Housing'!$C$48:$C$49</definedName>
    <definedName name="PC_25percent_Talc">'Material Housing'!$C$50:$C$53</definedName>
    <definedName name="PC_25percent_Talc_with_30percent_PCR">'Material Housing'!$C$54:$C$55</definedName>
    <definedName name="PC_25percent_Talc_with_35percent_PCR">'Material Housing'!$C$56:$C$57</definedName>
    <definedName name="PC_30percent_GF">'Material Housing'!$C$58:$C$62</definedName>
    <definedName name="PC_35percent_GF_with_5percent_Talc">'Material Housing'!$C$63:$C$64</definedName>
    <definedName name="PC_40percent_GF">'Material Housing'!$C$65:$C$70</definedName>
    <definedName name="PC_40percent_GF_with_30percent_PCR">'Material Housing'!$C$71:$C$72</definedName>
    <definedName name="PC_45percent_GF">'Material Housing'!$C$73:$C$74</definedName>
    <definedName name="PC_50percent_GF">'Material Housing'!$C$75:$C$79</definedName>
    <definedName name="PC_50percent_GF_Recycle">'Material Housing'!$C$80:$C$81</definedName>
    <definedName name="PC_50percent_GF_with_20percent_PCR">'Material Housing'!$C$82:$C$83</definedName>
    <definedName name="PC_50percent_GF_with_30percent_PCR">'Material Housing'!$C$84:$C$85</definedName>
    <definedName name="PC_ABS">'Material Housing'!$C$86:$C$100</definedName>
    <definedName name="PC_ABS_12percent_Talc">'Material Housing'!$C$114:$C$116</definedName>
    <definedName name="PC_ABS_15percent_Talc">'Material Housing'!$C$117:$C$126</definedName>
    <definedName name="PC_ABS_15percent_Talc_UVS">'Material Housing'!$C$127:$C$129</definedName>
    <definedName name="PC_ABS_15percent_Talc_with_15percent_PCR">'Material Housing'!$C$130:$C$131</definedName>
    <definedName name="PC_ABS_15percent_Talc_with_30percent_PCR">'Material Housing'!$C$132:$C$136</definedName>
    <definedName name="PC_ABS_23percent_Talc">'Material Housing'!$C$137:$C$138</definedName>
    <definedName name="PC_ABS_25percent_Talc">'Material Housing'!$C$139:$C$141</definedName>
    <definedName name="PC_ABS_25percent_Talc_with_30percent_PCR">'Material Housing'!$C$142:$C$143</definedName>
    <definedName name="PC_ABS_25percent_Talc_with_35percent_PCR">'Material Housing'!$C$144:$C$145</definedName>
    <definedName name="PC_ABS_3percent_Talc">'Material Housing'!$C$146:$C$147</definedName>
    <definedName name="PC_ABS_5percent_Talc_UVS">'Material Housing'!$C$156:$C$157</definedName>
    <definedName name="PC_ABS_5percent_Talc_with_35percent_PCR">'Material Housing'!$C$158:$C$159</definedName>
    <definedName name="PC_ABS_8percent_Talc">'Material Housing'!$C$160:$C$161</definedName>
    <definedName name="PC_ABS_PMMA">'Material Housing'!$C$162:$C$163</definedName>
    <definedName name="PC_ABS_with_30percent_PCR">'Material Housing'!$C$101:$C$104</definedName>
    <definedName name="PC_ABS_with_35percent_PCR">'Material Housing'!$C$105:$C$107</definedName>
    <definedName name="PC_ABS_with_65percent_PCR">'Material Housing'!$C$109:$C$110</definedName>
    <definedName name="PC_ABS_高光澤高流動">'Material Housing'!$C$111:$C$113</definedName>
    <definedName name="PC_GF_CF">'Material Housing'!$C$164:$C$165</definedName>
    <definedName name="PC_with_25percent_PCR">'Material Housing'!$C$25:$C$26</definedName>
    <definedName name="PC_with_30percent_PCR">'Material Housing'!$C$27:$C$28</definedName>
    <definedName name="PC_with_50percent_PCR">'Material Housing'!$C$29:$C$30</definedName>
    <definedName name="PC_非透明">'Material Housing'!$C$31:$C$33</definedName>
    <definedName name="PC紅外線透過型">'Material Housing'!$C$166:$C$167</definedName>
    <definedName name="Pla" localSheetId="11" hidden="1">'[2]Issues List'!#REF!</definedName>
    <definedName name="Pla" localSheetId="3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Housing'!$A$2:$A$70</definedName>
    <definedName name="POM">'Material Housing'!$C$168:$C$171</definedName>
    <definedName name="POM_DT_AIO">'Material Housing'!$L$57</definedName>
    <definedName name="PPA_55percent_GF">'Material Housing'!$C$172:$C$173</definedName>
    <definedName name="PPA_60percent_GF">'Material Housing'!$C$174:$C$175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Housing'!$C$176:$C$177</definedName>
    <definedName name="PPS_50percent_GF">'Material Housing'!$C$178:$C$180</definedName>
    <definedName name="PPS_50percent_GF_MD">'Material Housing'!$C$181:$C$182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1" hidden="1">#REF!</definedName>
    <definedName name="QW" localSheetId="7" hidden="1">#REF!</definedName>
    <definedName name="QW" localSheetId="3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Housing'!$A$2:$A$70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ME-Others'!$M$3:$M$6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Spec.'!$E$2:$E$4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1" hidden="1">'[8]Issues List'!#REF!</definedName>
    <definedName name="segfdfhgf" localSheetId="3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ielding_Can">'Material Spec.'!$B$2:$B$13</definedName>
    <definedName name="ShowPCCS">FALSE</definedName>
    <definedName name="ShowUnpublished">FALSE</definedName>
    <definedName name="Silicon">'Material ME-Others'!$N$3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1" hidden="1">#REF!</definedName>
    <definedName name="ssssssss" localSheetId="3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Spec.'!$D$2:$D$4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U">'Material Housing'!$C$189:$C$200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灰">'Die Cut Material &amp; Price'!$G$427</definedName>
    <definedName name="ULGasket黑">'Die Cut Material &amp; Price'!$G$429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1" hidden="1">#REF!</definedName>
    <definedName name="WE" localSheetId="7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Housing'!$C$201:$C$202</definedName>
    <definedName name="WERTW" localSheetId="11" hidden="1">#REF!</definedName>
    <definedName name="WERTW" localSheetId="7" hidden="1">#REF!</definedName>
    <definedName name="WERTW" localSheetId="3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1" hidden="1">{#N/A,#N/A,FALSE,"MFI -MIDDLE COVER"}</definedName>
    <definedName name="wrn.HDD._.BEZEL." localSheetId="3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1" hidden="1">#REF!</definedName>
    <definedName name="Z_8F5C2B68_883F_4029_AD18_B0DF3ED256ED_.wvu.FilterData" localSheetId="3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1" hidden="1">#REF!</definedName>
    <definedName name="Z_8F5C2B68_883F_4029_AD18_B0DF3ED256ED_.wvu.PrintArea" localSheetId="3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1" hidden="1">#REF!</definedName>
    <definedName name="Z_E3973807_6495_46AE_A0E9_BB974F3F83E5_.wvu.PrintTitles" localSheetId="3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Housing'!$C$203:$C$205</definedName>
    <definedName name="防火高流動_PC">'Material Housing'!$C$206:$C$207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Housing'!$C$208:$C$209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Housing'!$C$210:$C$213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 s="1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 s="1"/>
  <c r="E474" i="78"/>
  <c r="E473" i="78"/>
  <c r="F472" i="78"/>
  <c r="E472" i="78" s="1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 s="1"/>
  <c r="E455" i="78"/>
  <c r="F454" i="78"/>
  <c r="E454" i="78" s="1"/>
  <c r="E452" i="78"/>
  <c r="F451" i="78"/>
  <c r="E451" i="78"/>
  <c r="B451" i="78"/>
  <c r="F450" i="78"/>
  <c r="E450" i="78" s="1"/>
  <c r="B450" i="78"/>
  <c r="F449" i="78"/>
  <c r="E449" i="78" s="1"/>
  <c r="B449" i="78"/>
  <c r="F448" i="78"/>
  <c r="E448" i="78" s="1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 s="1"/>
  <c r="E393" i="78"/>
  <c r="F392" i="78"/>
  <c r="E392" i="78" s="1"/>
  <c r="F391" i="78"/>
  <c r="E391" i="78" s="1"/>
  <c r="F390" i="78"/>
  <c r="E390" i="78" s="1"/>
  <c r="E389" i="78"/>
  <c r="F388" i="78"/>
  <c r="E388" i="78" s="1"/>
  <c r="F387" i="78"/>
  <c r="E387" i="78" s="1"/>
  <c r="F386" i="78"/>
  <c r="E386" i="78" s="1"/>
  <c r="E385" i="78"/>
  <c r="F384" i="78"/>
  <c r="E384" i="78" s="1"/>
  <c r="F383" i="78"/>
  <c r="E383" i="78" s="1"/>
  <c r="E382" i="78"/>
  <c r="F381" i="78"/>
  <c r="E381" i="78" s="1"/>
  <c r="F380" i="78"/>
  <c r="E380" i="78" s="1"/>
  <c r="B380" i="78"/>
  <c r="F379" i="78"/>
  <c r="E379" i="78" s="1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 s="1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 s="1"/>
  <c r="F358" i="78"/>
  <c r="E358" i="78" s="1"/>
  <c r="F357" i="78"/>
  <c r="E357" i="78"/>
  <c r="E356" i="78"/>
  <c r="F355" i="78"/>
  <c r="E355" i="78" s="1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 s="1"/>
  <c r="F325" i="78"/>
  <c r="E325" i="78" s="1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 s="1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 s="1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 s="1"/>
  <c r="E299" i="78"/>
  <c r="F298" i="78"/>
  <c r="E298" i="78" s="1"/>
  <c r="F297" i="78"/>
  <c r="E297" i="78" s="1"/>
  <c r="F296" i="78"/>
  <c r="E296" i="78" s="1"/>
  <c r="E295" i="78"/>
  <c r="F294" i="78"/>
  <c r="E294" i="78" s="1"/>
  <c r="F293" i="78"/>
  <c r="E293" i="78" s="1"/>
  <c r="F292" i="78"/>
  <c r="E292" i="78" s="1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 s="1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 s="1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 s="1"/>
  <c r="F249" i="78"/>
  <c r="E249" i="78" s="1"/>
  <c r="F248" i="78"/>
  <c r="E248" i="78" s="1"/>
  <c r="F247" i="78"/>
  <c r="E247" i="78" s="1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 s="1"/>
  <c r="F233" i="78"/>
  <c r="E233" i="78" s="1"/>
  <c r="F232" i="78"/>
  <c r="E232" i="78" s="1"/>
  <c r="F231" i="78"/>
  <c r="E231" i="78" s="1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 s="1"/>
  <c r="F207" i="78"/>
  <c r="E207" i="78" s="1"/>
  <c r="F206" i="78"/>
  <c r="E206" i="78" s="1"/>
  <c r="E205" i="78"/>
  <c r="F204" i="78"/>
  <c r="E204" i="78" s="1"/>
  <c r="F203" i="78"/>
  <c r="E203" i="78" s="1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 s="1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 s="1"/>
  <c r="F178" i="78"/>
  <c r="E178" i="78" s="1"/>
  <c r="F177" i="78"/>
  <c r="E177" i="78" s="1"/>
  <c r="F176" i="78"/>
  <c r="E176" i="78" s="1"/>
  <c r="F175" i="78"/>
  <c r="E175" i="78" s="1"/>
  <c r="F174" i="78"/>
  <c r="E174" i="78" s="1"/>
  <c r="F173" i="78"/>
  <c r="E173" i="78" s="1"/>
  <c r="F172" i="78"/>
  <c r="E172" i="78"/>
  <c r="E171" i="78"/>
  <c r="F170" i="78"/>
  <c r="E170" i="78" s="1"/>
  <c r="F169" i="78"/>
  <c r="E169" i="78" s="1"/>
  <c r="F168" i="78"/>
  <c r="E168" i="78" s="1"/>
  <c r="F167" i="78"/>
  <c r="E167" i="78" s="1"/>
  <c r="F166" i="78"/>
  <c r="E166" i="78" s="1"/>
  <c r="F165" i="78"/>
  <c r="E165" i="78" s="1"/>
  <c r="F164" i="78"/>
  <c r="E164" i="78" s="1"/>
  <c r="F163" i="78"/>
  <c r="E163" i="78" s="1"/>
  <c r="F162" i="78"/>
  <c r="E162" i="78" s="1"/>
  <c r="F161" i="78"/>
  <c r="E161" i="78" s="1"/>
  <c r="F160" i="78"/>
  <c r="E160" i="78" s="1"/>
  <c r="F159" i="78"/>
  <c r="E159" i="78" s="1"/>
  <c r="F157" i="78"/>
  <c r="E157" i="78" s="1"/>
  <c r="F156" i="78"/>
  <c r="E156" i="78" s="1"/>
  <c r="F155" i="78"/>
  <c r="E155" i="78" s="1"/>
  <c r="F154" i="78"/>
  <c r="E154" i="78" s="1"/>
  <c r="F153" i="78"/>
  <c r="E153" i="78" s="1"/>
  <c r="F152" i="78"/>
  <c r="E152" i="78" s="1"/>
  <c r="F151" i="78"/>
  <c r="E151" i="78" s="1"/>
  <c r="F150" i="78"/>
  <c r="E150" i="78" s="1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 s="1"/>
  <c r="F140" i="78"/>
  <c r="E140" i="78" s="1"/>
  <c r="F139" i="78"/>
  <c r="E139" i="78" s="1"/>
  <c r="F137" i="78"/>
  <c r="E137" i="78" s="1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 s="1"/>
  <c r="F123" i="78"/>
  <c r="E123" i="78"/>
  <c r="F122" i="78"/>
  <c r="E122" i="78" s="1"/>
  <c r="F121" i="78"/>
  <c r="E121" i="78" s="1"/>
  <c r="F119" i="78"/>
  <c r="E119" i="78" s="1"/>
  <c r="F118" i="78"/>
  <c r="E118" i="78" s="1"/>
  <c r="F117" i="78"/>
  <c r="E117" i="78" s="1"/>
  <c r="F116" i="78"/>
  <c r="E116" i="78" s="1"/>
  <c r="F115" i="78"/>
  <c r="E115" i="78" s="1"/>
  <c r="F114" i="78"/>
  <c r="E114" i="78" s="1"/>
  <c r="F113" i="78"/>
  <c r="E113" i="78" s="1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 s="1"/>
  <c r="B105" i="78"/>
  <c r="F104" i="78"/>
  <c r="E104" i="78" s="1"/>
  <c r="B104" i="78"/>
  <c r="F103" i="78"/>
  <c r="E103" i="78" s="1"/>
  <c r="B103" i="78"/>
  <c r="E102" i="78"/>
  <c r="B102" i="78"/>
  <c r="F101" i="78"/>
  <c r="E101" i="78" s="1"/>
  <c r="B101" i="78"/>
  <c r="F100" i="78"/>
  <c r="E100" i="78" s="1"/>
  <c r="B100" i="78"/>
  <c r="F99" i="78"/>
  <c r="E99" i="78" s="1"/>
  <c r="B99" i="78"/>
  <c r="F98" i="78"/>
  <c r="E98" i="78" s="1"/>
  <c r="B98" i="78"/>
  <c r="E97" i="78"/>
  <c r="B97" i="78"/>
  <c r="F96" i="78"/>
  <c r="E96" i="78" s="1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 s="1"/>
  <c r="F81" i="78"/>
  <c r="E81" i="78" s="1"/>
  <c r="F80" i="78"/>
  <c r="E80" i="78" s="1"/>
  <c r="F78" i="78"/>
  <c r="E78" i="78"/>
  <c r="F77" i="78"/>
  <c r="E77" i="78" s="1"/>
  <c r="F76" i="78"/>
  <c r="E76" i="78" s="1"/>
  <c r="F75" i="78"/>
  <c r="E75" i="78" s="1"/>
  <c r="F73" i="78"/>
  <c r="E73" i="78" s="1"/>
  <c r="F72" i="78"/>
  <c r="E72" i="78"/>
  <c r="F71" i="78"/>
  <c r="E71" i="78" s="1"/>
  <c r="F70" i="78"/>
  <c r="E70" i="78" s="1"/>
  <c r="F69" i="78"/>
  <c r="E69" i="78" s="1"/>
  <c r="F67" i="78"/>
  <c r="E67" i="78" s="1"/>
  <c r="F66" i="78"/>
  <c r="E66" i="78"/>
  <c r="F65" i="78"/>
  <c r="E65" i="78" s="1"/>
  <c r="F64" i="78"/>
  <c r="E64" i="78" s="1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 s="1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 s="1"/>
  <c r="F43" i="78"/>
  <c r="E43" i="78"/>
  <c r="F42" i="78"/>
  <c r="E42" i="78" s="1"/>
  <c r="F41" i="78"/>
  <c r="E41" i="78" s="1"/>
  <c r="F40" i="78"/>
  <c r="E40" i="78" s="1"/>
  <c r="F39" i="78"/>
  <c r="E39" i="78" s="1"/>
  <c r="F37" i="78"/>
  <c r="E37" i="78" s="1"/>
  <c r="F36" i="78"/>
  <c r="E36" i="78" s="1"/>
  <c r="F35" i="78"/>
  <c r="E35" i="78" s="1"/>
  <c r="F34" i="78"/>
  <c r="E34" i="78" s="1"/>
  <c r="F33" i="78"/>
  <c r="E33" i="78" s="1"/>
  <c r="F32" i="78"/>
  <c r="E32" i="78" s="1"/>
  <c r="F31" i="78"/>
  <c r="E31" i="78" s="1"/>
  <c r="F29" i="78"/>
  <c r="E29" i="78" s="1"/>
  <c r="F28" i="78"/>
  <c r="E28" i="78" s="1"/>
  <c r="F27" i="78"/>
  <c r="E27" i="78" s="1"/>
  <c r="F26" i="78"/>
  <c r="E26" i="78" s="1"/>
  <c r="F25" i="78"/>
  <c r="E25" i="78" s="1"/>
  <c r="F24" i="78"/>
  <c r="E24" i="78" s="1"/>
  <c r="F22" i="78"/>
  <c r="E22" i="78" s="1"/>
  <c r="F21" i="78"/>
  <c r="E21" i="78" s="1"/>
  <c r="F20" i="78"/>
  <c r="E20" i="78" s="1"/>
  <c r="F19" i="78"/>
  <c r="E19" i="78" s="1"/>
  <c r="F18" i="78"/>
  <c r="E18" i="78" s="1"/>
  <c r="F17" i="78"/>
  <c r="E17" i="78" s="1"/>
  <c r="F16" i="78"/>
  <c r="E16" i="78" s="1"/>
  <c r="F15" i="78"/>
  <c r="E15" i="78" s="1"/>
  <c r="B15" i="78"/>
  <c r="F14" i="78"/>
  <c r="E14" i="78" s="1"/>
  <c r="B14" i="78"/>
  <c r="B13" i="78"/>
  <c r="F12" i="78"/>
  <c r="E12" i="78" s="1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 s="1"/>
  <c r="B7" i="78"/>
  <c r="F6" i="78"/>
  <c r="E6" i="78" s="1"/>
  <c r="B6" i="78"/>
  <c r="F5" i="78"/>
  <c r="E5" i="78" s="1"/>
  <c r="B5" i="78"/>
  <c r="F4" i="78"/>
  <c r="E4" i="78" s="1"/>
  <c r="B4" i="78"/>
  <c r="F3" i="78"/>
  <c r="E3" i="78" s="1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Vicki Chen/WHQ/Wistron</author>
  </authors>
  <commentList>
    <comment ref="B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</author>
  </authors>
  <commentList>
    <comment ref="E48" authorId="0" shapeId="0" xr:uid="{00000000-0006-0000-0300-000001000000}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 xr:uid="{00000000-0006-0000-0300-000002000000}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 xr:uid="{00000000-0006-0000-0300-000003000000}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Vicki Chen/WHQ/Wistron</author>
  </authors>
  <commentList>
    <comment ref="E8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Hermit Yang/WHQ/Wistron</author>
  </authors>
  <commentList>
    <comment ref="C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" authorId="0" shapeId="0" xr:uid="{00000000-0006-0000-0A00-000003000000}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<sst xmlns="http://schemas.openxmlformats.org/spreadsheetml/2006/main" count="2389" uniqueCount="1415">
  <si>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</si>
  <si>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</si>
  <si>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</si>
  <si>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</si>
  <si>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</si>
  <si>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</si>
  <si>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</si>
  <si>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</si>
  <si>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</si>
  <si>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</si>
  <si>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</si>
  <si>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</si>
  <si>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</si>
  <si>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</si>
  <si>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</si>
  <si>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</si>
  <si>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</si>
  <si>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</si>
  <si>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</si>
  <si>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</si>
  <si>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</si>
  <si>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</si>
  <si>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</si>
  <si>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</si>
  <si>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</si>
  <si>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</si>
  <si>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</si>
  <si>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</si>
  <si>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</si>
  <si>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</si>
  <si>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</si>
  <si>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</si>
  <si>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</si>
  <si>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</si>
  <si>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</si>
  <si>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</si>
  <si>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</si>
  <si>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</si>
  <si>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</si>
  <si>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</si>
  <si>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</si>
  <si>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</si>
  <si>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</si>
  <si>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</si>
  <si>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</si>
  <si>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</si>
  <si>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</si>
  <si>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</si>
  <si>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</si>
  <si>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Metal</t>
    <phoneticPr fontId="3" type="noConversion"/>
  </si>
  <si>
    <t>Die Casting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</si>
  <si>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</si>
  <si>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</si>
  <si>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</si>
  <si>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</si>
  <si>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</si>
  <si>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</si>
  <si>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</si>
  <si>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</si>
  <si>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</si>
  <si>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</si>
  <si>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</si>
  <si>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</si>
  <si>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</si>
  <si>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</si>
  <si>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</si>
  <si>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</si>
  <si>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</si>
  <si>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</si>
  <si>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</si>
  <si>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</si>
  <si>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</si>
  <si>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</si>
  <si>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</si>
  <si>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</si>
  <si>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</si>
  <si>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</si>
  <si>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</si>
  <si>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</si>
  <si>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</si>
  <si>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</si>
  <si>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</si>
  <si>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</si>
  <si>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</si>
  <si>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</si>
  <si>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</si>
  <si>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</si>
  <si>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</si>
  <si>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</si>
  <si>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</si>
  <si>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</si>
  <si>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</si>
  <si>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</si>
  <si>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</si>
  <si>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</si>
  <si>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</si>
  <si>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</si>
  <si>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</si>
  <si>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</si>
  <si>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</si>
  <si>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</si>
  <si>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</si>
  <si>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</si>
  <si>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</si>
  <si>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</si>
  <si>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</si>
  <si>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</si>
  <si>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</si>
  <si>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</si>
  <si>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</si>
  <si>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</si>
  <si>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</si>
  <si>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</si>
  <si>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</si>
  <si>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</si>
  <si>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</si>
  <si>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</si>
  <si>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</si>
  <si>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</si>
  <si>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</si>
  <si>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</si>
  <si>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</si>
  <si>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</si>
  <si>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</si>
  <si>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</si>
  <si>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</si>
  <si>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</si>
  <si>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</si>
  <si>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</si>
  <si>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</si>
  <si>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Docking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</si>
  <si>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</si>
  <si>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</si>
  <si>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</si>
  <si>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</si>
  <si>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</si>
  <si>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</si>
  <si>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</si>
  <si>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</si>
  <si>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</si>
  <si>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</si>
  <si>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</si>
  <si>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</si>
  <si>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</si>
  <si>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</si>
  <si>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</si>
  <si>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</si>
  <si>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</si>
  <si>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</si>
  <si>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</si>
  <si>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</si>
  <si>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</si>
  <si>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</si>
  <si>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</si>
  <si>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</si>
  <si>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</si>
  <si>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</si>
  <si>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</si>
  <si>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</si>
  <si>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</si>
  <si>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</si>
  <si>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</si>
  <si>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</si>
  <si>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</si>
  <si>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</si>
  <si>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</si>
  <si>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</si>
  <si>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</si>
  <si>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</si>
  <si>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</si>
  <si>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</si>
  <si>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</si>
  <si>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</si>
  <si>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</si>
  <si>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</si>
  <si>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</si>
  <si>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</si>
  <si>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</si>
  <si>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</si>
  <si>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</si>
  <si>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</si>
  <si>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</si>
  <si>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</si>
  <si>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</si>
  <si>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</si>
  <si>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</si>
  <si>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</si>
  <si>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</si>
  <si>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</si>
  <si>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</si>
  <si>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</si>
  <si>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</si>
  <si>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</si>
  <si>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</si>
  <si>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</si>
  <si>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</si>
  <si>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</si>
  <si>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</si>
  <si>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</si>
  <si>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</si>
  <si>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</si>
  <si>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</si>
  <si>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</si>
  <si>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</si>
  <si>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</si>
  <si>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</si>
  <si>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</si>
  <si>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</si>
  <si>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</si>
  <si>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</si>
  <si>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</si>
  <si>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</si>
  <si>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</si>
  <si>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</si>
  <si>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</si>
  <si>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</si>
  <si>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</si>
  <si>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</si>
  <si>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</si>
  <si>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</si>
  <si>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</si>
  <si>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</si>
  <si>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</si>
  <si>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</si>
  <si>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</si>
  <si>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</si>
  <si>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</si>
  <si>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</si>
  <si>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</si>
  <si>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</si>
  <si>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</si>
  <si>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</si>
  <si>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</si>
  <si>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TPU</t>
  </si>
  <si>
    <t>NB-LCD_BEZEL</t>
  </si>
  <si>
    <t>NB-UP_CASE</t>
  </si>
  <si>
    <t>NB-LOW_CASE</t>
  </si>
  <si>
    <t>POM</t>
  </si>
  <si>
    <t>NB-LCD_COVER</t>
  </si>
  <si>
    <t>PC</t>
  </si>
  <si>
    <t xml:space="preserve">TPEE </t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</si>
  <si>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</si>
  <si>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</si>
  <si>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</si>
  <si>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</si>
  <si>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</si>
  <si>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</si>
  <si>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</si>
  <si>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</si>
  <si>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</si>
  <si>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</si>
  <si>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t>Sabic_EXL1414</t>
    <phoneticPr fontId="27" type="noConversion"/>
  </si>
  <si>
    <t>PC_with_25percent_PCR</t>
    <phoneticPr fontId="2" type="noConversion"/>
  </si>
  <si>
    <t>Teijin_L-1225L</t>
    <phoneticPr fontId="27" type="noConversion"/>
  </si>
  <si>
    <t>PC_with_30percent_PCR</t>
    <phoneticPr fontId="27" type="noConversion"/>
  </si>
  <si>
    <t>Teijin_L-1225Y</t>
    <phoneticPr fontId="27" type="noConversion"/>
  </si>
  <si>
    <t>Teijin_L-1250Y</t>
    <phoneticPr fontId="27" type="noConversion"/>
  </si>
  <si>
    <t>PC_10percent_GF</t>
    <phoneticPr fontId="2" type="noConversion"/>
  </si>
  <si>
    <t>Teijin_LN2520A</t>
    <phoneticPr fontId="27" type="noConversion"/>
  </si>
  <si>
    <t>PC_10percent_GF_with_30percent_PCR</t>
    <phoneticPr fontId="2" type="noConversion"/>
  </si>
  <si>
    <t>Teijin_MN-4800</t>
    <phoneticPr fontId="27" type="noConversion"/>
  </si>
  <si>
    <t>PC_15percent_CF</t>
    <phoneticPr fontId="2" type="noConversion"/>
  </si>
  <si>
    <t>Teijin_MN-3709EE</t>
    <phoneticPr fontId="27" type="noConversion"/>
  </si>
  <si>
    <t>PC_20percent_CF</t>
    <phoneticPr fontId="2" type="noConversion"/>
  </si>
  <si>
    <t>Sabic_RCX7243</t>
    <phoneticPr fontId="27" type="noConversion"/>
  </si>
  <si>
    <t>PC_20percent_CF_with_30percent_PCR</t>
    <phoneticPr fontId="2" type="noConversion"/>
  </si>
  <si>
    <t xml:space="preserve">MEP_FPR3500 </t>
    <phoneticPr fontId="27" type="noConversion"/>
  </si>
  <si>
    <t>PC_20ercent_GF</t>
    <phoneticPr fontId="2" type="noConversion"/>
  </si>
  <si>
    <t>MEP_FPL3500</t>
    <phoneticPr fontId="27" type="noConversion"/>
  </si>
  <si>
    <t>PC_25percent_GF</t>
    <phoneticPr fontId="2" type="noConversion"/>
  </si>
  <si>
    <t>Sabic_D151</t>
    <phoneticPr fontId="27" type="noConversion"/>
  </si>
  <si>
    <t>PC_25percent_Talc</t>
    <phoneticPr fontId="2" type="noConversion"/>
  </si>
  <si>
    <t>Teijin_GV-3510R</t>
    <phoneticPr fontId="27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</si>
  <si>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</si>
  <si>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</si>
  <si>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</si>
  <si>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7" type="noConversion"/>
  </si>
  <si>
    <t>PC_30percent_GF</t>
    <phoneticPr fontId="2" type="noConversion"/>
  </si>
  <si>
    <t>Sabic_DC0041PQ</t>
    <phoneticPr fontId="27" type="noConversion"/>
  </si>
  <si>
    <t>PC_35percent_GF_with_5percent_Talc</t>
    <phoneticPr fontId="2" type="noConversion"/>
  </si>
  <si>
    <t>Sabic_DC0041PR</t>
    <phoneticPr fontId="27" type="noConversion"/>
  </si>
  <si>
    <t>PC_40percent_GF</t>
    <phoneticPr fontId="2" type="noConversion"/>
  </si>
  <si>
    <t>Sabic_D251</t>
    <phoneticPr fontId="27" type="noConversion"/>
  </si>
  <si>
    <t>PC_40percent_GF_with_30percent_PCR</t>
    <phoneticPr fontId="2" type="noConversion"/>
  </si>
  <si>
    <t>Teijin_GV-3520R</t>
    <phoneticPr fontId="27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</si>
  <si>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</si>
  <si>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</si>
  <si>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</si>
  <si>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7" type="noConversion"/>
  </si>
  <si>
    <t>PC_50percent_GF_Recycle</t>
    <phoneticPr fontId="2" type="noConversion"/>
  </si>
  <si>
    <t>Teijin_DN-5325B</t>
    <phoneticPr fontId="27" type="noConversion"/>
  </si>
  <si>
    <t>PC_50percent_GF_with_20percent_PCR</t>
    <phoneticPr fontId="2" type="noConversion"/>
  </si>
  <si>
    <t>Teijin_DN-5325S</t>
    <phoneticPr fontId="27" type="noConversion"/>
  </si>
  <si>
    <t>PC_50percent_GF_with_30percent_PCR</t>
    <phoneticPr fontId="2" type="noConversion"/>
  </si>
  <si>
    <t>Teijin_DN-5325SEF</t>
    <phoneticPr fontId="27" type="noConversion"/>
  </si>
  <si>
    <t>PC_ABS</t>
  </si>
  <si>
    <t xml:space="preserve">Sabic_RCM6224 </t>
    <phoneticPr fontId="27" type="noConversion"/>
  </si>
  <si>
    <t>PC_ABS_with_30percent_PCR</t>
    <phoneticPr fontId="2" type="noConversion"/>
  </si>
  <si>
    <t>Covestro_GF9016</t>
    <phoneticPr fontId="27" type="noConversion"/>
  </si>
  <si>
    <t>PC_ABS_with_35percent_PCR</t>
    <phoneticPr fontId="2" type="noConversion"/>
  </si>
  <si>
    <t>LG_LUPOY GN2303F</t>
  </si>
  <si>
    <t xml:space="preserve">Sabic_D351  </t>
    <phoneticPr fontId="27" type="noConversion"/>
  </si>
  <si>
    <t>PC_ABS_12percent_Talc</t>
    <phoneticPr fontId="2" type="noConversion"/>
  </si>
  <si>
    <t>Teijin_GXV-3530UH</t>
    <phoneticPr fontId="27" type="noConversion"/>
  </si>
  <si>
    <t>PC_ABS_15percent_Talc</t>
    <phoneticPr fontId="2" type="noConversion"/>
  </si>
  <si>
    <t>Covestro_GF9012MF</t>
    <phoneticPr fontId="27" type="noConversion"/>
  </si>
  <si>
    <t>PC_ABS_15percent_Talc_UVS</t>
    <phoneticPr fontId="2" type="noConversion"/>
  </si>
  <si>
    <t>Covestro_GF9018</t>
    <phoneticPr fontId="27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</si>
  <si>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</si>
  <si>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</si>
  <si>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</si>
  <si>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7" type="noConversion"/>
  </si>
  <si>
    <t>PC_ABS_23percent_Talc</t>
    <phoneticPr fontId="2" type="noConversion"/>
  </si>
  <si>
    <t xml:space="preserve">Sabic_D452   </t>
    <phoneticPr fontId="27" type="noConversion"/>
  </si>
  <si>
    <t>PC_ABS_25percent_Talc</t>
    <phoneticPr fontId="2" type="noConversion"/>
  </si>
  <si>
    <t>Teijin_GN-3540RI</t>
    <phoneticPr fontId="27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</si>
  <si>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</si>
  <si>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</si>
  <si>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</si>
  <si>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7" type="noConversion"/>
  </si>
  <si>
    <t>PC_ABS_3percent_Talc</t>
    <phoneticPr fontId="2" type="noConversion"/>
  </si>
  <si>
    <t>Covestro_GF9020</t>
    <phoneticPr fontId="27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</si>
  <si>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</si>
  <si>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</si>
  <si>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</si>
  <si>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7" type="noConversion"/>
  </si>
  <si>
    <t>PC_ABS_5percent_Talc_with_35percent_PCR</t>
    <phoneticPr fontId="2" type="noConversion"/>
  </si>
  <si>
    <t>Teijin_GXV-3550WI</t>
    <phoneticPr fontId="27" type="noConversion"/>
  </si>
  <si>
    <t>PC_ABS_8percent_Talc</t>
    <phoneticPr fontId="2" type="noConversion"/>
  </si>
  <si>
    <t>Covestro_M4004GR</t>
    <phoneticPr fontId="27" type="noConversion"/>
  </si>
  <si>
    <t>PC_ABS_PMMA</t>
  </si>
  <si>
    <t>LG_LUPOY ER2503F</t>
  </si>
  <si>
    <t>PC_GF_CF</t>
  </si>
  <si>
    <t>Sabic_D551RC</t>
    <phoneticPr fontId="27" type="noConversion"/>
  </si>
  <si>
    <t>Covestro_FR3002</t>
    <phoneticPr fontId="2" type="noConversion"/>
  </si>
  <si>
    <t>Covestro_FR3008</t>
    <phoneticPr fontId="27" type="noConversion"/>
  </si>
  <si>
    <t>PPA_55percent_GF</t>
    <phoneticPr fontId="2" type="noConversion"/>
  </si>
  <si>
    <t>Covestro_FR3040</t>
    <phoneticPr fontId="27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</si>
  <si>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</si>
  <si>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</si>
  <si>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</si>
  <si>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</si>
  <si>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</si>
  <si>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7" type="noConversion"/>
  </si>
  <si>
    <t>PPS_50percent_GF_MD</t>
    <phoneticPr fontId="2" type="noConversion"/>
  </si>
  <si>
    <t>Sabic_CX7240</t>
    <phoneticPr fontId="27" type="noConversion"/>
  </si>
  <si>
    <t>Sabic_CY6120</t>
    <phoneticPr fontId="27" type="noConversion"/>
  </si>
  <si>
    <t>Teijin_TN-7000A</t>
    <phoneticPr fontId="27" type="noConversion"/>
  </si>
  <si>
    <t>Teijin_TN-7690A</t>
    <phoneticPr fontId="27" type="noConversion"/>
  </si>
  <si>
    <t>LOTTE_NH-1021</t>
    <phoneticPr fontId="27" type="noConversion"/>
  </si>
  <si>
    <t>LOTTE_NH-1015V</t>
    <phoneticPr fontId="27" type="noConversion"/>
  </si>
  <si>
    <t>Covestro_FR630GR</t>
    <phoneticPr fontId="27" type="noConversion"/>
  </si>
  <si>
    <t>LG_LUPOY ER5001RFA</t>
  </si>
  <si>
    <t>Sabic_RCY6214</t>
    <phoneticPr fontId="27" type="noConversion"/>
  </si>
  <si>
    <t>Teijin_TN 7050</t>
    <phoneticPr fontId="27" type="noConversion"/>
  </si>
  <si>
    <t>Teijin_TN 7050Y</t>
    <phoneticPr fontId="27" type="noConversion"/>
  </si>
  <si>
    <t>LG_LUPOY GN5121RF</t>
  </si>
  <si>
    <t>MEP_TMB1412</t>
  </si>
  <si>
    <t>Covestro_FR3021</t>
    <phoneticPr fontId="27" type="noConversion"/>
  </si>
  <si>
    <t>LG_LUPOY GN5151RFA</t>
  </si>
  <si>
    <t>MEP_TMB1615</t>
    <phoneticPr fontId="27" type="noConversion"/>
  </si>
  <si>
    <t>Sabic_C7230P</t>
    <phoneticPr fontId="27" type="noConversion"/>
  </si>
  <si>
    <t>Teijin_TN-3715B</t>
    <phoneticPr fontId="27" type="noConversion"/>
  </si>
  <si>
    <t>Teijin_TN-3715BW</t>
    <phoneticPr fontId="27" type="noConversion"/>
  </si>
  <si>
    <t>Teijin_TN-3715BX</t>
    <phoneticPr fontId="27" type="noConversion"/>
  </si>
  <si>
    <t>Teijin_TN-3740B</t>
    <phoneticPr fontId="27" type="noConversion"/>
  </si>
  <si>
    <t>LOTTE_NH-1150HH</t>
    <phoneticPr fontId="27" type="noConversion"/>
  </si>
  <si>
    <t>Covestro_FR3021BBS910</t>
    <phoneticPr fontId="27" type="noConversion"/>
  </si>
  <si>
    <t>Teijin_TN-3715BZ</t>
    <phoneticPr fontId="27" type="noConversion"/>
  </si>
  <si>
    <t>Teijin_TN 3745BEC</t>
    <phoneticPr fontId="27" type="noConversion"/>
  </si>
  <si>
    <t>Covestro_FR3021GR</t>
    <phoneticPr fontId="27" type="noConversion"/>
  </si>
  <si>
    <t>LG_LUPOY ER5151RFL</t>
  </si>
  <si>
    <t>Sabic_RCM6123</t>
    <phoneticPr fontId="27" type="noConversion"/>
  </si>
  <si>
    <t>Teijin_TN 3745BEF</t>
    <phoneticPr fontId="27" type="noConversion"/>
  </si>
  <si>
    <t>Covestro_FR3023</t>
    <phoneticPr fontId="27" type="noConversion"/>
  </si>
  <si>
    <t>Covestro_FR3025</t>
    <phoneticPr fontId="27" type="noConversion"/>
  </si>
  <si>
    <t>LG_LUPOY GN5254FD</t>
  </si>
  <si>
    <t>LG_LUPOY ER5254F</t>
  </si>
  <si>
    <t>Covestro_FR3025R35</t>
    <phoneticPr fontId="27" type="noConversion"/>
  </si>
  <si>
    <t>MEP_MB1700</t>
  </si>
  <si>
    <t>Covestro_FR3020</t>
    <phoneticPr fontId="27" type="noConversion"/>
  </si>
  <si>
    <t>LG_LUPOY GN5101RF</t>
  </si>
  <si>
    <t>Sabic_C7210A</t>
    <phoneticPr fontId="27" type="noConversion"/>
  </si>
  <si>
    <t>Sabic_C7410</t>
    <phoneticPr fontId="27" type="noConversion"/>
  </si>
  <si>
    <t>Teijin_TN-3713B</t>
    <phoneticPr fontId="27" type="noConversion"/>
  </si>
  <si>
    <t>Teijin_TN-3713BX</t>
    <phoneticPr fontId="27" type="noConversion"/>
  </si>
  <si>
    <t>Teijin_TN-7100F</t>
    <phoneticPr fontId="27" type="noConversion"/>
  </si>
  <si>
    <t>Teijin_TN-7200B</t>
    <phoneticPr fontId="27" type="noConversion"/>
  </si>
  <si>
    <t>Sabic_RCM6134</t>
    <phoneticPr fontId="27" type="noConversion"/>
  </si>
  <si>
    <t>Sabic_CM6140</t>
    <phoneticPr fontId="27" type="noConversion"/>
  </si>
  <si>
    <t>LG_LUPOY SG-5009FA</t>
  </si>
  <si>
    <t>MEP_BCB992</t>
    <phoneticPr fontId="27" type="noConversion"/>
  </si>
  <si>
    <t>MEP_7025A OAT223</t>
    <phoneticPr fontId="27" type="noConversion"/>
  </si>
  <si>
    <t>MEP_F20-03</t>
    <phoneticPr fontId="27" type="noConversion"/>
  </si>
  <si>
    <t>Dupont_Delrin 100</t>
    <phoneticPr fontId="27" type="noConversion"/>
  </si>
  <si>
    <t>Dupont_HTNFE170016</t>
    <phoneticPr fontId="27" type="noConversion"/>
  </si>
  <si>
    <t>Dupont_HTNFE170023</t>
    <phoneticPr fontId="27" type="noConversion"/>
  </si>
  <si>
    <t>Toray_A305M45B</t>
    <phoneticPr fontId="27" type="noConversion"/>
  </si>
  <si>
    <t>Toray_A595H</t>
    <phoneticPr fontId="27" type="noConversion"/>
  </si>
  <si>
    <t>LG_EGP2500</t>
  </si>
  <si>
    <t>Toray_A695H</t>
    <phoneticPr fontId="27" type="noConversion"/>
  </si>
  <si>
    <t>Covestro_UDS70AU</t>
    <phoneticPr fontId="27" type="noConversion"/>
  </si>
  <si>
    <t>Covestro_IT85AU</t>
    <phoneticPr fontId="27" type="noConversion"/>
  </si>
  <si>
    <t>Covestro_8785A</t>
    <phoneticPr fontId="27" type="noConversion"/>
  </si>
  <si>
    <t>Covestro_1070AU</t>
    <phoneticPr fontId="27" type="noConversion"/>
  </si>
  <si>
    <t>Covestro_5377A</t>
    <phoneticPr fontId="27" type="noConversion"/>
  </si>
  <si>
    <t>Covestro_1065AU</t>
    <phoneticPr fontId="27" type="noConversion"/>
  </si>
  <si>
    <t>Huntsman_AVALON 85AE</t>
    <phoneticPr fontId="27" type="noConversion"/>
  </si>
  <si>
    <t>Huntsman_AVALON 80AE</t>
    <phoneticPr fontId="27" type="noConversion"/>
  </si>
  <si>
    <t>Huntsman_AVALON 75AE</t>
    <phoneticPr fontId="27" type="noConversion"/>
  </si>
  <si>
    <t xml:space="preserve">Huntsman_AVALON 65AB </t>
    <phoneticPr fontId="27" type="noConversion"/>
  </si>
  <si>
    <t>Sabic_LNP Lubriloy D20001</t>
    <phoneticPr fontId="27" type="noConversion"/>
  </si>
  <si>
    <t>Dupont_HTR8813</t>
    <phoneticPr fontId="27" type="noConversion"/>
  </si>
  <si>
    <t>Dupont_HTR8837</t>
    <phoneticPr fontId="27" type="noConversion"/>
  </si>
  <si>
    <t>Teijin_MN-3600H</t>
    <phoneticPr fontId="27" type="noConversion"/>
  </si>
  <si>
    <t>Teijin_L-1225Z100</t>
    <phoneticPr fontId="27" type="noConversion"/>
  </si>
  <si>
    <t>MEP_EFD8000</t>
    <phoneticPr fontId="27" type="noConversion"/>
  </si>
  <si>
    <t>MEP_EFD3304U</t>
    <phoneticPr fontId="27" type="noConversion"/>
  </si>
  <si>
    <t>Teijin_ML-1103</t>
    <phoneticPr fontId="27" type="noConversion"/>
  </si>
  <si>
    <t>FR_PC</t>
    <phoneticPr fontId="2" type="noConversion"/>
  </si>
  <si>
    <t>Sabic_BPL1000</t>
    <phoneticPr fontId="27" type="noConversion"/>
  </si>
  <si>
    <t>FR_PC_Translucent</t>
    <phoneticPr fontId="2" type="noConversion"/>
  </si>
  <si>
    <t>Sabic_ML7681</t>
    <phoneticPr fontId="27" type="noConversion"/>
  </si>
  <si>
    <t>Sabic_FXD9810</t>
    <phoneticPr fontId="27" type="noConversion"/>
  </si>
  <si>
    <t>Non_FR_PC</t>
    <phoneticPr fontId="2" type="noConversion"/>
  </si>
  <si>
    <t>Sabic_121R / 141R /123R-CC</t>
    <phoneticPr fontId="27" type="noConversion"/>
  </si>
  <si>
    <t>PA_50percent_GF</t>
    <phoneticPr fontId="2" type="noConversion"/>
  </si>
  <si>
    <t>Dupont_HTNFR55G50NHLWSF</t>
    <phoneticPr fontId="27" type="noConversion"/>
  </si>
  <si>
    <t>PA1010_55percent_GF</t>
    <phoneticPr fontId="2" type="noConversion"/>
  </si>
  <si>
    <t>Dupont_HTN59G55LWSF</t>
    <phoneticPr fontId="27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</si>
  <si>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</si>
  <si>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</si>
  <si>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</si>
  <si>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</si>
  <si>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</si>
  <si>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</si>
  <si>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</si>
  <si>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</si>
  <si>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</si>
  <si>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</si>
  <si>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</si>
  <si>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</si>
  <si>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</si>
  <si>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</si>
  <si>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</si>
  <si>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</si>
  <si>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</si>
  <si>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</si>
  <si>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</si>
  <si>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7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</si>
  <si>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</si>
  <si>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</si>
  <si>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</si>
  <si>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</si>
  <si>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</si>
  <si>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</si>
  <si>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</si>
  <si>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</si>
  <si>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</si>
  <si>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</si>
  <si>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</si>
  <si>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</si>
  <si>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</si>
  <si>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</si>
  <si>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</si>
  <si>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</si>
  <si>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</si>
  <si>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</si>
  <si>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</si>
  <si>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</si>
  <si>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</si>
  <si>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</si>
  <si>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</si>
  <si>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7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</si>
  <si>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</si>
  <si>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</si>
  <si>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</si>
  <si>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</si>
  <si>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</si>
  <si>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</si>
  <si>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</si>
  <si>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</si>
  <si>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</si>
  <si>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</si>
  <si>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</si>
  <si>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</si>
  <si>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</si>
  <si>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</si>
  <si>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</si>
  <si>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</si>
  <si>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Electroplate_電鍍</t>
    <phoneticPr fontId="2" type="noConversion"/>
  </si>
  <si>
    <t>Sputtering_濺鍍</t>
    <phoneticPr fontId="3" type="noConversion"/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</si>
  <si>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</si>
  <si>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</si>
  <si>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</si>
  <si>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</si>
  <si>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</si>
  <si>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</si>
  <si>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</si>
  <si>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</si>
  <si>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</si>
  <si>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</si>
  <si>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</si>
  <si>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</si>
  <si>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</si>
  <si>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</si>
  <si>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</si>
  <si>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</si>
  <si>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</si>
  <si>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</si>
  <si>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</si>
  <si>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</si>
  <si>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</si>
  <si>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</si>
  <si>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</si>
  <si>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</si>
  <si>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</si>
  <si>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</si>
  <si>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</si>
  <si>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</si>
  <si>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</si>
  <si>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</si>
  <si>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</si>
  <si>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</si>
  <si>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</si>
  <si>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</si>
  <si>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</si>
  <si>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</si>
  <si>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</si>
  <si>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</si>
  <si>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</si>
  <si>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</si>
  <si>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</si>
  <si>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</si>
  <si>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</si>
  <si>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</si>
  <si>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</si>
  <si>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</si>
  <si>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</si>
  <si>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</si>
  <si>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</si>
  <si>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</si>
  <si>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</si>
  <si>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</si>
  <si>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</si>
  <si>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</si>
  <si>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</si>
  <si>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</si>
  <si>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</si>
  <si>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</si>
  <si>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</si>
  <si>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</si>
  <si>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</si>
  <si>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</si>
  <si>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</si>
  <si>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</si>
  <si>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</si>
  <si>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</si>
  <si>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</si>
  <si>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</si>
  <si>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</si>
  <si>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</si>
  <si>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</si>
  <si>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</si>
  <si>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</si>
  <si>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</si>
  <si>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</si>
  <si>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</si>
  <si>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</si>
  <si>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</si>
  <si>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</si>
  <si>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</si>
  <si>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</si>
  <si>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</si>
  <si>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</si>
  <si>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</si>
  <si>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</si>
  <si>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</si>
  <si>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</si>
  <si>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</si>
  <si>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</si>
  <si>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</si>
  <si>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</si>
  <si>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</si>
  <si>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</si>
  <si>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</si>
  <si>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</si>
  <si>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</si>
  <si>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</si>
  <si>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</si>
  <si>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</si>
  <si>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</si>
  <si>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</si>
  <si>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</si>
  <si>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</si>
  <si>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</si>
  <si>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</si>
  <si>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</si>
  <si>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</si>
  <si>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</si>
  <si>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</si>
  <si>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</si>
  <si>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</si>
  <si>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</si>
  <si>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</si>
  <si>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</si>
  <si>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</si>
  <si>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</si>
  <si>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</si>
  <si>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Material spec(NB)</t>
    <phoneticPr fontId="2" type="noConversion"/>
  </si>
  <si>
    <t>Material(NB)</t>
    <phoneticPr fontId="2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</si>
  <si>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</si>
  <si>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</si>
  <si>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</si>
  <si>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</si>
  <si>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</si>
  <si>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</si>
  <si>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</si>
  <si>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</si>
  <si>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</si>
  <si>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</si>
  <si>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</si>
  <si>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</si>
  <si>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</si>
  <si>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</si>
  <si>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</si>
  <si>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</si>
  <si>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</si>
  <si>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</si>
  <si>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</si>
  <si>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</si>
  <si>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</si>
  <si>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</si>
  <si>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</si>
  <si>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Aluminum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</si>
  <si>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</si>
  <si>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</si>
  <si>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</si>
  <si>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</si>
  <si>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</si>
  <si>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</si>
  <si>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</si>
  <si>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</si>
  <si>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</si>
  <si>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</si>
  <si>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</si>
  <si>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</si>
  <si>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</si>
  <si>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</si>
  <si>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</si>
  <si>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</si>
  <si>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Function Category</t>
    <phoneticPr fontId="3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</si>
  <si>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</si>
  <si>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</si>
  <si>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</si>
  <si>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</si>
  <si>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</si>
  <si>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</si>
  <si>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</si>
  <si>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</si>
  <si>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</si>
  <si>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</si>
  <si>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</si>
  <si>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</si>
  <si>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</si>
  <si>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</si>
  <si>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</si>
  <si>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7" type="noConversion"/>
  </si>
  <si>
    <t>Dupont_Hytrel_3078</t>
    <phoneticPr fontId="27" type="noConversion"/>
  </si>
  <si>
    <t>Dupont_Hytrel_4056</t>
    <phoneticPr fontId="27" type="noConversion"/>
  </si>
  <si>
    <t>Dupont_Hytrel_RS30F7</t>
    <phoneticPr fontId="27" type="noConversion"/>
  </si>
  <si>
    <t>Dupont_Hytrel_RS40F2</t>
    <phoneticPr fontId="27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</si>
  <si>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</si>
  <si>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</si>
  <si>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</si>
  <si>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</si>
  <si>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</si>
  <si>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</si>
  <si>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</si>
  <si>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</si>
  <si>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</si>
  <si>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7" type="noConversion"/>
  </si>
  <si>
    <t>TPEE_Dupont_Hytrel_3078</t>
    <phoneticPr fontId="27" type="noConversion"/>
  </si>
  <si>
    <t>TPEE_Dupont_Hytrel_4056</t>
    <phoneticPr fontId="27" type="noConversion"/>
  </si>
  <si>
    <t>TPEE_Dupont_Hytrel_RS30F7</t>
    <phoneticPr fontId="27" type="noConversion"/>
  </si>
  <si>
    <t>TPEE_Dupont_Hytrel_RS40F2</t>
    <phoneticPr fontId="27" type="noConversion"/>
  </si>
  <si>
    <t>TPU_Covestro_UDS70AU</t>
    <phoneticPr fontId="27" type="noConversion"/>
  </si>
  <si>
    <t>TPU_Covestro_IT85AU</t>
    <phoneticPr fontId="27" type="noConversion"/>
  </si>
  <si>
    <t>TPU_Covestro_8785A</t>
    <phoneticPr fontId="27" type="noConversion"/>
  </si>
  <si>
    <t>TPU_Covestro_1070AU</t>
    <phoneticPr fontId="27" type="noConversion"/>
  </si>
  <si>
    <t>TPU_Covestro_5377A</t>
    <phoneticPr fontId="27" type="noConversion"/>
  </si>
  <si>
    <t>TPU_Covestro_1065AU</t>
    <phoneticPr fontId="27" type="noConversion"/>
  </si>
  <si>
    <t>TPU_Huntsman_AVALON 85AE</t>
    <phoneticPr fontId="27" type="noConversion"/>
  </si>
  <si>
    <t>TPU_Huntsman_AVALON 80AE</t>
    <phoneticPr fontId="27" type="noConversion"/>
  </si>
  <si>
    <t>TPU_Huntsman_AVALON 75AE</t>
    <phoneticPr fontId="27" type="noConversion"/>
  </si>
  <si>
    <t xml:space="preserve">TPU_Huntsman_AVALON 65AB </t>
    <phoneticPr fontId="27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</si>
  <si>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</si>
  <si>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</si>
  <si>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</si>
  <si>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</si>
  <si>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</si>
  <si>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</si>
  <si>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</si>
  <si>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</si>
  <si>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</si>
  <si>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</si>
  <si>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</si>
  <si>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</si>
  <si>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</si>
  <si>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</si>
  <si>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</si>
  <si>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</si>
  <si>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</si>
  <si>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</si>
  <si>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</si>
  <si>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</si>
  <si>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</si>
  <si>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</si>
  <si>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</si>
  <si>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</si>
  <si>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</si>
  <si>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</si>
  <si>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</si>
  <si>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</si>
  <si>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</si>
  <si>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</si>
  <si>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</si>
  <si>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</si>
  <si>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</si>
  <si>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</si>
  <si>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</si>
  <si>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</si>
  <si>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</si>
  <si>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</si>
  <si>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</si>
  <si>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</si>
  <si>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</si>
  <si>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</si>
  <si>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</si>
  <si>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</si>
  <si>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</si>
  <si>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</si>
  <si>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</si>
  <si>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</si>
  <si>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</si>
  <si>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</si>
  <si>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</si>
  <si>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</si>
  <si>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</si>
  <si>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</si>
  <si>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</si>
  <si>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</si>
  <si>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</si>
  <si>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</si>
  <si>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</si>
  <si>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</si>
  <si>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</si>
  <si>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</si>
  <si>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</si>
  <si>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</si>
  <si>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</si>
  <si>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</si>
  <si>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</si>
  <si>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</si>
  <si>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</si>
  <si>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</si>
  <si>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</si>
  <si>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</si>
  <si>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</si>
  <si>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</si>
  <si>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</si>
  <si>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</si>
  <si>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</si>
  <si>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</si>
  <si>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</si>
  <si>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</si>
  <si>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</si>
  <si>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</si>
  <si>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</si>
  <si>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</si>
  <si>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</si>
  <si>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</si>
  <si>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</si>
  <si>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</si>
  <si>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</si>
  <si>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</si>
  <si>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</si>
  <si>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</si>
  <si>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</si>
  <si>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</si>
  <si>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</si>
  <si>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</si>
  <si>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</si>
  <si>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</si>
  <si>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</si>
  <si>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</si>
  <si>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</si>
  <si>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</si>
  <si>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</si>
  <si>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</si>
  <si>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</si>
  <si>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</si>
  <si>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</si>
  <si>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</si>
  <si>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</si>
  <si>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</si>
  <si>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</si>
  <si>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</si>
  <si>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</si>
  <si>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</si>
  <si>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</si>
  <si>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</si>
  <si>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</si>
  <si>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</si>
  <si>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</si>
  <si>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</si>
  <si>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</si>
  <si>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</si>
  <si>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</si>
  <si>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</si>
  <si>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</si>
  <si>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</si>
  <si>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</si>
  <si>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</si>
  <si>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</si>
  <si>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</si>
  <si>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</si>
  <si>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</si>
  <si>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</si>
  <si>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</si>
  <si>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</si>
  <si>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</si>
  <si>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</si>
  <si>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</si>
  <si>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</si>
  <si>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</si>
  <si>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</si>
  <si>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</si>
  <si>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</si>
  <si>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</si>
  <si>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</si>
  <si>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</si>
  <si>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</si>
  <si>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</si>
  <si>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</si>
  <si>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</si>
  <si>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</si>
  <si>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</si>
  <si>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</si>
  <si>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</si>
  <si>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</si>
  <si>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</si>
  <si>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</si>
  <si>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</si>
  <si>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</si>
  <si>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</si>
  <si>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</si>
  <si>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</si>
  <si>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</si>
  <si>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</si>
  <si>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</si>
  <si>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</si>
  <si>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</si>
  <si>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</si>
  <si>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</si>
  <si>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</si>
  <si>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</si>
  <si>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</si>
  <si>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</si>
  <si>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</si>
  <si>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</si>
  <si>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</si>
  <si>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</si>
  <si>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</si>
  <si>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</si>
  <si>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</si>
  <si>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</si>
  <si>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</si>
  <si>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</si>
  <si>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</si>
  <si>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</si>
  <si>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</si>
  <si>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</si>
  <si>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</si>
  <si>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</si>
  <si>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</si>
  <si>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</si>
  <si>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</si>
  <si>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</si>
  <si>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</si>
  <si>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</si>
  <si>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</si>
  <si>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</si>
  <si>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</si>
  <si>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</si>
  <si>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</si>
  <si>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</si>
  <si>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</si>
  <si>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</si>
  <si>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</si>
  <si>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</si>
  <si>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</si>
  <si>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</si>
  <si>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</si>
  <si>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</si>
  <si>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</si>
  <si>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</si>
  <si>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</si>
  <si>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</si>
  <si>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</si>
  <si>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</si>
  <si>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</si>
  <si>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</si>
  <si>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</si>
  <si>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</si>
  <si>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</si>
  <si>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</si>
  <si>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</si>
  <si>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</si>
  <si>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</si>
  <si>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</si>
  <si>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</si>
  <si>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</si>
  <si>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</si>
  <si>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</si>
  <si>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</si>
  <si>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</si>
  <si>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</si>
  <si>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</si>
  <si>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</si>
  <si>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</si>
  <si>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</si>
  <si>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</si>
  <si>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</si>
  <si>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</si>
  <si>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</si>
  <si>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</si>
  <si>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</si>
  <si>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</si>
  <si>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</si>
  <si>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</si>
  <si>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</si>
  <si>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</si>
  <si>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</si>
  <si>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</si>
  <si>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</si>
  <si>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</si>
  <si>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</si>
  <si>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</si>
  <si>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</si>
  <si>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</si>
  <si>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</si>
  <si>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</si>
  <si>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</si>
  <si>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</si>
  <si>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</si>
  <si>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</si>
  <si>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</si>
  <si>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</si>
  <si>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</si>
  <si>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</si>
  <si>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</si>
  <si>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</si>
  <si>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</si>
  <si>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</si>
  <si>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</si>
  <si>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</si>
  <si>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</si>
  <si>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</si>
  <si>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</si>
  <si>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</si>
  <si>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</si>
  <si>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</si>
  <si>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</si>
  <si>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</si>
  <si>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</si>
  <si>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</si>
  <si>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</si>
  <si>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</si>
  <si>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</si>
  <si>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</si>
  <si>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</si>
  <si>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</si>
  <si>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</si>
  <si>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</si>
  <si>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</si>
  <si>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</si>
  <si>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</si>
  <si>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</si>
  <si>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</si>
  <si>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</si>
  <si>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</si>
  <si>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</si>
  <si>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</si>
  <si>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</si>
  <si>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</si>
  <si>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</si>
  <si>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</si>
  <si>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</si>
  <si>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</si>
  <si>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</si>
  <si>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</si>
  <si>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</si>
  <si>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</si>
  <si>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</si>
  <si>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</si>
  <si>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</si>
  <si>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</si>
  <si>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</si>
  <si>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</si>
  <si>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</si>
  <si>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</si>
  <si>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</si>
  <si>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</si>
  <si>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</si>
  <si>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</si>
  <si>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</si>
  <si>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</si>
  <si>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</si>
  <si>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</si>
  <si>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</si>
  <si>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</si>
  <si>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</si>
  <si>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</si>
  <si>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</si>
  <si>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</si>
  <si>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</si>
  <si>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</si>
  <si>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</si>
  <si>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</si>
  <si>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</si>
  <si>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</si>
  <si>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</si>
  <si>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</si>
  <si>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</si>
  <si>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</si>
  <si>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</si>
  <si>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</si>
  <si>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</si>
  <si>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</si>
  <si>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</si>
  <si>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</si>
  <si>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</si>
  <si>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</si>
  <si>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</si>
  <si>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</si>
  <si>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</si>
  <si>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</si>
  <si>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</si>
  <si>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</si>
  <si>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</si>
  <si>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</si>
  <si>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</si>
  <si>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</si>
  <si>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</si>
  <si>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</si>
  <si>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</si>
  <si>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</si>
  <si>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</si>
  <si>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</si>
  <si>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</si>
  <si>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</si>
  <si>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</si>
  <si>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</si>
  <si>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</si>
  <si>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</si>
  <si>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</si>
  <si>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</si>
  <si>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</si>
  <si>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</si>
  <si>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</si>
  <si>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</si>
  <si>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</si>
  <si>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</si>
  <si>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</si>
  <si>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</si>
  <si>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</si>
  <si>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</si>
  <si>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</si>
  <si>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</si>
  <si>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</si>
  <si>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</si>
  <si>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</si>
  <si>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</si>
  <si>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</si>
  <si>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</si>
  <si>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</si>
  <si>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</si>
  <si>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</si>
  <si>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</si>
  <si>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</si>
  <si>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Type1</t>
    <phoneticPr fontId="2" type="noConversion"/>
  </si>
  <si>
    <t>Type2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</si>
  <si>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</si>
  <si>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</si>
  <si>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</si>
  <si>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</si>
  <si>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</si>
  <si>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</si>
  <si>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</si>
  <si>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</si>
  <si>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</si>
  <si>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</si>
  <si>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</si>
  <si>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</si>
  <si>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</si>
  <si>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</si>
  <si>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</si>
  <si>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</si>
  <si>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</si>
  <si>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</si>
  <si>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</si>
  <si>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</si>
  <si>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</si>
  <si>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</si>
  <si>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</si>
  <si>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</si>
  <si>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</si>
  <si>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</si>
  <si>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</si>
  <si>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</si>
  <si>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</si>
  <si>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</si>
  <si>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</si>
  <si>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</si>
  <si>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</si>
  <si>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</si>
  <si>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</si>
  <si>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</si>
  <si>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</si>
  <si>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</si>
  <si>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</si>
  <si>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</si>
  <si>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</si>
  <si>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</si>
  <si>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</si>
  <si>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</si>
  <si>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</si>
  <si>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Aluminum</t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</si>
  <si>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</si>
  <si>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</si>
  <si>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</si>
  <si>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</si>
  <si>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</si>
  <si>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</si>
  <si>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</si>
  <si>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</si>
  <si>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</si>
  <si>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</si>
  <si>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</si>
  <si>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</si>
  <si>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</si>
  <si>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</si>
  <si>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</si>
  <si>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</si>
  <si>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</si>
  <si>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</si>
  <si>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</si>
  <si>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</si>
  <si>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</si>
  <si>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</si>
  <si>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</si>
  <si>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</si>
  <si>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</si>
  <si>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</si>
  <si>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</si>
  <si>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</si>
  <si>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</si>
  <si>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</si>
  <si>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</si>
  <si>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</si>
  <si>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</si>
  <si>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</si>
  <si>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</si>
  <si>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</si>
  <si>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</si>
  <si>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</si>
  <si>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</si>
  <si>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</si>
  <si>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</si>
  <si>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</si>
  <si>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</si>
  <si>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</si>
  <si>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</si>
  <si>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</si>
  <si>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</si>
  <si>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</si>
  <si>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</si>
  <si>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</si>
  <si>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</si>
  <si>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</si>
  <si>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</si>
  <si>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</si>
  <si>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</si>
  <si>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</si>
  <si>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</si>
  <si>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</si>
  <si>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</si>
  <si>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</si>
  <si>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</si>
  <si>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</si>
  <si>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</si>
  <si>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</si>
  <si>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</si>
  <si>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</si>
  <si>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</si>
  <si>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</si>
  <si>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</si>
  <si>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</si>
  <si>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</si>
  <si>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</si>
  <si>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</si>
  <si>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</si>
  <si>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</si>
  <si>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</si>
  <si>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</si>
  <si>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</si>
  <si>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</si>
  <si>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</si>
  <si>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</si>
  <si>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</si>
  <si>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</si>
  <si>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</si>
  <si>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</si>
  <si>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</si>
  <si>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</si>
  <si>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</si>
  <si>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</si>
  <si>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</si>
  <si>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</si>
  <si>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</si>
  <si>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</si>
  <si>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</si>
  <si>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</si>
  <si>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</si>
  <si>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</si>
  <si>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</si>
  <si>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</si>
  <si>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</si>
  <si>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</si>
  <si>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</si>
  <si>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</si>
  <si>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</si>
  <si>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</si>
  <si>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</si>
  <si>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</si>
  <si>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</si>
  <si>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</si>
  <si>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</si>
  <si>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</si>
  <si>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</si>
  <si>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</si>
  <si>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</si>
  <si>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</si>
  <si>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</si>
  <si>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</si>
  <si>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</si>
  <si>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</si>
  <si>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</si>
  <si>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</si>
  <si>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</si>
  <si>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</si>
  <si>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</si>
  <si>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</si>
  <si>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</si>
  <si>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</si>
  <si>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</si>
  <si>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</si>
  <si>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</si>
  <si>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</si>
  <si>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</si>
  <si>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</si>
  <si>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</si>
  <si>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</si>
  <si>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</si>
  <si>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</si>
  <si>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</si>
  <si>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</si>
  <si>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</si>
  <si>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</si>
  <si>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</si>
  <si>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</si>
  <si>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</si>
  <si>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</si>
  <si>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</si>
  <si>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</si>
  <si>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</si>
  <si>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</si>
  <si>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</si>
  <si>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</si>
  <si>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</si>
  <si>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</si>
  <si>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</si>
  <si>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</si>
  <si>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</si>
  <si>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</si>
  <si>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</si>
  <si>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</si>
  <si>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</si>
  <si>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</si>
  <si>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</si>
  <si>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</si>
  <si>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</si>
  <si>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</si>
  <si>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</si>
  <si>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</si>
  <si>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</si>
  <si>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</si>
  <si>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</si>
  <si>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</si>
  <si>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</si>
  <si>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</si>
  <si>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</si>
  <si>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</si>
  <si>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</si>
  <si>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</si>
  <si>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</si>
  <si>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</si>
  <si>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</si>
  <si>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TPU</t>
    <phoneticPr fontId="2" type="noConversion"/>
  </si>
  <si>
    <t>TPEE</t>
    <phoneticPr fontId="2" type="noConversion"/>
  </si>
  <si>
    <t>Silicon</t>
    <phoneticPr fontId="2" type="noConversion"/>
  </si>
  <si>
    <t>Rubber
Material Spec.</t>
    <phoneticPr fontId="3" type="noConversion"/>
  </si>
  <si>
    <t>Silicon_矽膠</t>
    <phoneticPr fontId="2" type="noConversion"/>
  </si>
  <si>
    <t>Silicom
Material</t>
    <phoneticPr fontId="3" type="noConversion"/>
  </si>
  <si>
    <t>Double Injection</t>
    <phoneticPr fontId="3" type="noConversion"/>
  </si>
  <si>
    <t>* Part Category II
(下拉選單)</t>
    <phoneticPr fontId="3" type="noConversion"/>
  </si>
  <si>
    <t>SGCC</t>
  </si>
  <si>
    <t>SPCC</t>
  </si>
  <si>
    <t>SPTE</t>
  </si>
  <si>
    <t>AL1050</t>
  </si>
  <si>
    <t>SECC</t>
  </si>
  <si>
    <t>CU1100</t>
  </si>
  <si>
    <t>KU400</t>
  </si>
  <si>
    <t>SUS301</t>
  </si>
  <si>
    <t>SUS304</t>
  </si>
  <si>
    <t>Metal Material Spec.</t>
    <phoneticPr fontId="3" type="noConversion"/>
  </si>
  <si>
    <t>Aluminum Material Spec.</t>
    <phoneticPr fontId="3" type="noConversion"/>
  </si>
  <si>
    <t>Other_Fill_ME_Remark</t>
    <phoneticPr fontId="2" type="noConversion"/>
  </si>
  <si>
    <t>Standoff Material Spec.</t>
    <phoneticPr fontId="3" type="noConversion"/>
  </si>
  <si>
    <t>Screw Material Spec.</t>
    <phoneticPr fontId="3" type="noConversion"/>
  </si>
  <si>
    <t>Nut Material Spec.</t>
    <phoneticPr fontId="3" type="noConversion"/>
  </si>
  <si>
    <t>一般厚度</t>
    <phoneticPr fontId="2" type="noConversion"/>
  </si>
  <si>
    <t>Other_Fill_ME_Remark</t>
    <phoneticPr fontId="2" type="noConversion"/>
  </si>
  <si>
    <t>無鉛環保銅</t>
  </si>
  <si>
    <t>黃銅-C3604</t>
  </si>
  <si>
    <t>Chimei PA-757</t>
    <phoneticPr fontId="27" type="noConversion"/>
  </si>
  <si>
    <t>Lotte SD-0150</t>
    <phoneticPr fontId="2" type="noConversion"/>
  </si>
  <si>
    <t>FCFC IR2200</t>
    <phoneticPr fontId="27" type="noConversion"/>
  </si>
  <si>
    <t>PC</t>
    <phoneticPr fontId="2" type="noConversion"/>
  </si>
  <si>
    <t>Sabic HF1130</t>
    <phoneticPr fontId="2" type="noConversion"/>
  </si>
  <si>
    <t>Bayer  PC 2456</t>
  </si>
  <si>
    <t>Chimei PC-122</t>
    <phoneticPr fontId="2" type="noConversion"/>
  </si>
  <si>
    <t>WAM GA35</t>
  </si>
  <si>
    <t>ECOtech ABS406e(Jack Black)</t>
  </si>
  <si>
    <t>WAM NC30</t>
  </si>
  <si>
    <t>Kingfa JH960-6965</t>
  </si>
  <si>
    <t>Covestro DP9370AU</t>
  </si>
  <si>
    <t>POM-M90</t>
  </si>
  <si>
    <t>ECOtech PC450e(Jack Black)</t>
    <phoneticPr fontId="2" type="noConversion"/>
  </si>
  <si>
    <t>Sabic C6200</t>
    <phoneticPr fontId="27" type="noConversion"/>
  </si>
  <si>
    <t>Chimei PC-540A</t>
    <phoneticPr fontId="27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</si>
  <si>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</si>
  <si>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</si>
  <si>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>FR_PC_Diffusion_</t>
    </r>
    <r>
      <rPr>
        <sz val="12"/>
        <color theme="1"/>
        <rFont val="新細明體"/>
        <family val="2"/>
        <charset val="136"/>
      </rPr>
      <t>擴散</t>
    </r>
    <phoneticPr fontId="27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</si>
  <si>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</si>
  <si>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>Lotte SD-0150</t>
    </r>
    <r>
      <rPr>
        <sz val="12"/>
        <color rgb="FFFF0000"/>
        <rFont val="Arial"/>
        <family val="2"/>
      </rPr>
      <t>(Black)</t>
    </r>
    <phoneticPr fontId="2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</si>
  <si>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</si>
  <si>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>Lotte SD-0150</t>
    </r>
    <r>
      <rPr>
        <sz val="12"/>
        <color rgb="FFFF0000"/>
        <rFont val="Arial"/>
        <family val="2"/>
      </rPr>
      <t>(White)</t>
    </r>
    <phoneticPr fontId="2" type="noConversion"/>
  </si>
  <si>
    <r>
      <t>PC_</t>
    </r>
    <r>
      <rPr>
        <sz val="12"/>
        <color theme="1"/>
        <rFont val="新細明體"/>
        <family val="2"/>
        <charset val="136"/>
      </rPr>
      <t>非透明</t>
    </r>
    <phoneticPr fontId="2" type="noConversion"/>
  </si>
  <si>
    <r>
      <rPr>
        <sz val="12"/>
        <color theme="1"/>
        <rFont val="新細明體"/>
        <family val="2"/>
        <charset val="136"/>
      </rPr>
      <t>快削鋼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</si>
  <si>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</si>
  <si>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</si>
  <si>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</si>
  <si>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</si>
  <si>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rPr>
        <sz val="12"/>
        <color theme="1"/>
        <rFont val="新細明體"/>
        <family val="2"/>
        <charset val="136"/>
      </rPr>
      <t>包圓式</t>
    </r>
    <phoneticPr fontId="2" type="noConversion"/>
  </si>
  <si>
    <r>
      <rPr>
        <sz val="12"/>
        <color theme="1"/>
        <rFont val="新細明體"/>
        <family val="2"/>
        <charset val="136"/>
      </rPr>
      <t>中空轉軸</t>
    </r>
  </si>
  <si>
    <r>
      <rPr>
        <sz val="12"/>
        <color theme="1"/>
        <rFont val="新細明體"/>
        <family val="2"/>
        <charset val="136"/>
      </rPr>
      <t>鋅合金</t>
    </r>
    <r>
      <rPr>
        <sz val="12"/>
        <color theme="1"/>
        <rFont val="Arial"/>
        <family val="2"/>
      </rPr>
      <t xml:space="preserve"> CAP </t>
    </r>
    <r>
      <rPr>
        <sz val="12"/>
        <color theme="1"/>
        <rFont val="新細明體"/>
        <family val="2"/>
        <charset val="136"/>
      </rPr>
      <t>連承架</t>
    </r>
  </si>
  <si>
    <r>
      <t>PC_ABS_</t>
    </r>
    <r>
      <rPr>
        <sz val="12"/>
        <color theme="1"/>
        <rFont val="新細明體"/>
        <family val="2"/>
        <charset val="136"/>
      </rPr>
      <t>高光澤高流動</t>
    </r>
    <phoneticPr fontId="2" type="noConversion"/>
  </si>
  <si>
    <r>
      <t>WAM(</t>
    </r>
    <r>
      <rPr>
        <sz val="12"/>
        <color theme="1"/>
        <rFont val="Calibri"/>
        <family val="2"/>
      </rPr>
      <t>緯潤</t>
    </r>
    <r>
      <rPr>
        <sz val="12"/>
        <color theme="1"/>
        <rFont val="Arial"/>
        <family val="2"/>
      </rPr>
      <t>)GA35 BK</t>
    </r>
  </si>
  <si>
    <r>
      <t xml:space="preserve">Rising KB </t>
    </r>
    <r>
      <rPr>
        <sz val="12"/>
        <color theme="1"/>
        <rFont val="新細明體"/>
        <family val="2"/>
        <charset val="136"/>
      </rPr>
      <t>雙軸</t>
    </r>
    <phoneticPr fontId="2" type="noConversion"/>
  </si>
  <si>
    <r>
      <t>WAM(</t>
    </r>
    <r>
      <rPr>
        <sz val="12"/>
        <color theme="1"/>
        <rFont val="新細明體"/>
        <family val="2"/>
        <charset val="136"/>
      </rPr>
      <t>緯潤</t>
    </r>
    <r>
      <rPr>
        <sz val="12"/>
        <color theme="1"/>
        <rFont val="Arial"/>
        <family val="2"/>
      </rPr>
      <t>) GA65</t>
    </r>
    <phoneticPr fontId="27" type="noConversion"/>
  </si>
  <si>
    <r>
      <rPr>
        <sz val="12"/>
        <color theme="1"/>
        <rFont val="新細明體"/>
        <family val="2"/>
        <charset val="136"/>
      </rPr>
      <t>特殊結構</t>
    </r>
  </si>
  <si>
    <r>
      <t>Kingfa(</t>
    </r>
    <r>
      <rPr>
        <sz val="12"/>
        <color theme="1"/>
        <rFont val="新細明體"/>
        <family val="2"/>
        <charset val="136"/>
      </rPr>
      <t>金發</t>
    </r>
    <r>
      <rPr>
        <sz val="12"/>
        <color theme="1"/>
        <rFont val="Arial"/>
        <family val="2"/>
      </rPr>
      <t>) GAR-011(L65)</t>
    </r>
    <phoneticPr fontId="27" type="noConversion"/>
  </si>
  <si>
    <r>
      <t>PC</t>
    </r>
    <r>
      <rPr>
        <sz val="12"/>
        <color theme="1"/>
        <rFont val="新細明體"/>
        <family val="2"/>
        <charset val="136"/>
      </rPr>
      <t>紅外線透過型</t>
    </r>
  </si>
  <si>
    <r>
      <rPr>
        <sz val="12"/>
        <color theme="1"/>
        <rFont val="新細明體"/>
        <family val="2"/>
        <charset val="136"/>
      </rPr>
      <t>防火高流動</t>
    </r>
    <r>
      <rPr>
        <sz val="12"/>
        <color theme="1"/>
        <rFont val="Arial"/>
        <family val="2"/>
      </rPr>
      <t>_PC</t>
    </r>
    <phoneticPr fontId="2" type="noConversion"/>
  </si>
  <si>
    <r>
      <rPr>
        <sz val="12"/>
        <color theme="1"/>
        <rFont val="新細明體"/>
        <family val="2"/>
        <charset val="136"/>
      </rPr>
      <t>耐候</t>
    </r>
    <r>
      <rPr>
        <sz val="12"/>
        <color theme="1"/>
        <rFont val="Arial"/>
        <family val="2"/>
      </rPr>
      <t>_PC</t>
    </r>
    <phoneticPr fontId="2" type="noConversion"/>
  </si>
  <si>
    <r>
      <rPr>
        <sz val="12"/>
        <color theme="1"/>
        <rFont val="新細明體"/>
        <family val="2"/>
        <charset val="136"/>
      </rPr>
      <t>擴散級</t>
    </r>
    <r>
      <rPr>
        <sz val="12"/>
        <color theme="1"/>
        <rFont val="Arial"/>
        <family val="2"/>
      </rPr>
      <t>_PC</t>
    </r>
    <phoneticPr fontId="2" type="noConversion"/>
  </si>
  <si>
    <r>
      <t>Wearable_PC_</t>
    </r>
    <r>
      <rPr>
        <sz val="12"/>
        <color theme="1"/>
        <rFont val="新細明體"/>
        <family val="2"/>
        <charset val="136"/>
      </rPr>
      <t>耐磨</t>
    </r>
    <phoneticPr fontId="27" type="noConversion"/>
  </si>
  <si>
    <r>
      <rPr>
        <sz val="12"/>
        <color theme="1"/>
        <rFont val="新細明體"/>
        <family val="2"/>
        <charset val="136"/>
      </rPr>
      <t>防火</t>
    </r>
    <r>
      <rPr>
        <sz val="12"/>
        <color theme="1"/>
        <rFont val="Arial"/>
        <family val="2"/>
      </rPr>
      <t>_TPEE</t>
    </r>
    <phoneticPr fontId="2" type="noConversion"/>
  </si>
  <si>
    <t>Sabic HF1130</t>
    <phoneticPr fontId="27" type="noConversion"/>
  </si>
  <si>
    <t>Bayer  PC 2456</t>
    <phoneticPr fontId="27" type="noConversion"/>
  </si>
  <si>
    <t>Chimei PC-122</t>
    <phoneticPr fontId="27" type="noConversion"/>
  </si>
  <si>
    <t>WAM - PC/ABS NC35</t>
    <phoneticPr fontId="27" type="noConversion"/>
  </si>
  <si>
    <t xml:space="preserve">Kingfa JH960-6900 </t>
    <phoneticPr fontId="27" type="noConversion"/>
  </si>
  <si>
    <t>WAM NC30</t>
    <phoneticPr fontId="2" type="noConversion"/>
  </si>
  <si>
    <t>WAM - PC/ABS NC35</t>
    <phoneticPr fontId="2" type="noConversion"/>
  </si>
  <si>
    <t xml:space="preserve">Kingfa JH960-6900 </t>
    <phoneticPr fontId="2" type="noConversion"/>
  </si>
  <si>
    <t>ABS_35percent_PCR</t>
    <phoneticPr fontId="2" type="noConversion"/>
  </si>
  <si>
    <t>ABS_65percent_PCR</t>
    <phoneticPr fontId="2" type="noConversion"/>
  </si>
  <si>
    <t>PC_ABS_with_65percent_PCR</t>
    <phoneticPr fontId="2" type="noConversion"/>
  </si>
  <si>
    <t>PC_ABS_with_65percent_PCR</t>
    <phoneticPr fontId="2" type="noConversion"/>
  </si>
  <si>
    <t>PC_with_50percent_PCR</t>
    <phoneticPr fontId="27" type="noConversion"/>
  </si>
  <si>
    <t>PC_with_50percent_PCR</t>
    <phoneticPr fontId="2" type="noConversion"/>
  </si>
  <si>
    <t>ECOtech PC450e(Jack Black)</t>
    <phoneticPr fontId="2" type="noConversion"/>
  </si>
  <si>
    <t>PC_20percent_GF</t>
    <phoneticPr fontId="2" type="noConversion"/>
  </si>
  <si>
    <t>Lotte SD-0150(Black)</t>
    <phoneticPr fontId="2" type="noConversion"/>
  </si>
  <si>
    <t>Lotte SD-0150(White)</t>
    <phoneticPr fontId="2" type="noConversion"/>
  </si>
  <si>
    <r>
      <t>WAM(</t>
    </r>
    <r>
      <rPr>
        <sz val="12"/>
        <color rgb="FFFF0000"/>
        <rFont val="Calibri"/>
        <family val="2"/>
      </rPr>
      <t>緯潤</t>
    </r>
    <r>
      <rPr>
        <sz val="12"/>
        <color rgb="FFFF0000"/>
        <rFont val="Arial"/>
        <family val="2"/>
      </rPr>
      <t>)GA35 BK</t>
    </r>
  </si>
  <si>
    <r>
      <t>WAM(</t>
    </r>
    <r>
      <rPr>
        <sz val="12"/>
        <color rgb="FFFF0000"/>
        <rFont val="新細明體"/>
        <family val="2"/>
        <charset val="136"/>
      </rPr>
      <t>緯潤</t>
    </r>
    <r>
      <rPr>
        <sz val="12"/>
        <color rgb="FFFF0000"/>
        <rFont val="Arial"/>
        <family val="2"/>
      </rPr>
      <t>) GA65</t>
    </r>
    <phoneticPr fontId="27" type="noConversion"/>
  </si>
  <si>
    <r>
      <t>Kingfa(</t>
    </r>
    <r>
      <rPr>
        <sz val="12"/>
        <color rgb="FFFF0000"/>
        <rFont val="新細明體"/>
        <family val="2"/>
        <charset val="136"/>
      </rPr>
      <t>金發</t>
    </r>
    <r>
      <rPr>
        <sz val="12"/>
        <color rgb="FFFF0000"/>
        <rFont val="Arial"/>
        <family val="2"/>
      </rPr>
      <t>) GAR-011(L65)</t>
    </r>
    <phoneticPr fontId="27" type="noConversion"/>
  </si>
  <si>
    <t>Graphite_Sheet</t>
    <phoneticPr fontId="2" type="noConversion"/>
  </si>
  <si>
    <t>Graphite_Sheet</t>
    <phoneticPr fontId="2" type="noConversion"/>
  </si>
  <si>
    <t>目前沒有clean sheet</t>
    <phoneticPr fontId="2" type="noConversion"/>
  </si>
  <si>
    <t>同 Die Cut Clean Sheet(同 Ming 的)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</si>
</sst>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176" formatCode="0.0000_ "/>
    <numFmt numFmtId="177" formatCode="_-&quot;US$&quot;* #,##0_ ;_-&quot;US$&quot;* \-#,##0\ ;_-&quot;US$&quot;* &quot;-&quot;??_ ;_-@_ "/>
    <numFmt numFmtId="178" formatCode="_-[$€]* #,##0.00_-;\-[$€]* #,##0.00_-;_-[$€]* &quot;-&quot;??_-;_-@_-"/>
    <numFmt numFmtId="179" formatCode="0.0000_);[Red]\(0.0000\)"/>
    <numFmt numFmtId="180" formatCode="&quot;$&quot;#,##0.00"/>
    <numFmt numFmtId="181" formatCode="0.00000000_ "/>
  </numFmts>
  <fonts count="6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  <font>
      <sz val="9"/>
      <color indexed="81"/>
      <name val="Tahoma"/>
      <family val="2"/>
    </font>
    <font>
      <sz val="12"/>
      <color rgb="FF002060"/>
      <name val="Arial"/>
      <family val="2"/>
    </font>
    <font>
      <sz val="12"/>
      <color theme="1"/>
      <name val="Calibri"/>
      <family val="2"/>
    </font>
    <font>
      <sz val="12"/>
      <color theme="1"/>
      <name val="新細明體"/>
      <family val="2"/>
      <charset val="136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color rgb="FF1F497D"/>
      <name val="Arial"/>
      <family val="2"/>
    </font>
    <font>
      <sz val="12"/>
      <color rgb="FFFF0000"/>
      <name val="Calibri"/>
      <family val="2"/>
    </font>
    <font>
      <sz val="12"/>
      <color rgb="FFFF0000"/>
      <name val="新細明體"/>
      <family val="2"/>
      <charset val="136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966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178" fontId="0" fillId="0" borderId="0">
      <alignment vertical="center"/>
    </xf>
    <xf numFmtId="178" fontId="5" fillId="0" borderId="0"/>
    <xf numFmtId="178" fontId="5" fillId="0" borderId="0"/>
    <xf numFmtId="178" fontId="5" fillId="0" borderId="0">
      <alignment vertical="center"/>
    </xf>
    <xf numFmtId="178" fontId="5" fillId="0" borderId="0"/>
    <xf numFmtId="44" fontId="1" fillId="0" borderId="0" applyFont="0" applyFill="0" applyBorder="0" applyAlignment="0" applyProtection="0">
      <alignment vertical="center"/>
    </xf>
    <xf numFmtId="178" fontId="16" fillId="0" borderId="0">
      <alignment vertical="center"/>
    </xf>
    <xf numFmtId="178" fontId="17" fillId="0" borderId="0"/>
    <xf numFmtId="177" fontId="19" fillId="0" borderId="0">
      <alignment vertical="center"/>
    </xf>
    <xf numFmtId="177" fontId="20" fillId="0" borderId="0"/>
    <xf numFmtId="178" fontId="4" fillId="0" borderId="0"/>
    <xf numFmtId="179" fontId="20" fillId="0" borderId="0"/>
    <xf numFmtId="177" fontId="20" fillId="0" borderId="0"/>
    <xf numFmtId="178" fontId="5" fillId="0" borderId="0"/>
    <xf numFmtId="178" fontId="8" fillId="0" borderId="0">
      <alignment vertical="center"/>
    </xf>
    <xf numFmtId="178" fontId="5" fillId="0" borderId="0"/>
    <xf numFmtId="178" fontId="1" fillId="0" borderId="0">
      <alignment vertical="center"/>
    </xf>
    <xf numFmtId="178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8" fontId="4" fillId="0" borderId="0"/>
    <xf numFmtId="178" fontId="23" fillId="0" borderId="0">
      <alignment vertical="center"/>
    </xf>
    <xf numFmtId="178" fontId="5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38" fillId="0" borderId="0"/>
    <xf numFmtId="178" fontId="5" fillId="0" borderId="0"/>
    <xf numFmtId="178" fontId="5" fillId="0" borderId="0"/>
    <xf numFmtId="178" fontId="39" fillId="0" borderId="0">
      <alignment vertical="center"/>
    </xf>
    <xf numFmtId="178" fontId="38" fillId="0" borderId="0"/>
    <xf numFmtId="178" fontId="39" fillId="0" borderId="0">
      <alignment vertical="center"/>
    </xf>
    <xf numFmtId="178" fontId="40" fillId="0" borderId="0">
      <alignment vertical="center"/>
    </xf>
    <xf numFmtId="178" fontId="40" fillId="0" borderId="0">
      <alignment vertical="center"/>
    </xf>
    <xf numFmtId="178" fontId="40" fillId="0" borderId="0">
      <alignment vertical="center"/>
    </xf>
    <xf numFmtId="178" fontId="5" fillId="0" borderId="0"/>
    <xf numFmtId="178" fontId="1" fillId="0" borderId="0">
      <alignment vertical="center"/>
    </xf>
    <xf numFmtId="178" fontId="5" fillId="0" borderId="0">
      <alignment vertical="center"/>
    </xf>
    <xf numFmtId="0" fontId="5" fillId="0" borderId="0"/>
    <xf numFmtId="0" fontId="1" fillId="0" borderId="0">
      <alignment vertical="center"/>
    </xf>
    <xf numFmtId="178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8" fontId="5" fillId="0" borderId="0"/>
  </cellStyleXfs>
  <cellXfs count="364">
    <xf numFmtId="178" fontId="0" fillId="0" borderId="0" xfId="0">
      <alignment vertical="center"/>
    </xf>
    <xf numFmtId="178" fontId="6" fillId="7" borderId="1" xfId="2" applyFont="1" applyFill="1" applyBorder="1" applyAlignment="1" applyProtection="1">
      <alignment horizontal="center" vertical="center" wrapText="1"/>
      <protection locked="0"/>
    </xf>
    <xf numFmtId="178" fontId="0" fillId="0" borderId="0" xfId="0" applyBorder="1" applyAlignment="1">
      <alignment horizontal="left" vertical="center"/>
    </xf>
    <xf numFmtId="178" fontId="24" fillId="0" borderId="0" xfId="0" applyFont="1" applyFill="1" applyBorder="1">
      <alignment vertical="center"/>
    </xf>
    <xf numFmtId="180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8" fontId="14" fillId="13" borderId="1" xfId="0" applyNumberFormat="1" applyFont="1" applyFill="1" applyBorder="1" applyAlignment="1">
      <alignment horizontal="center" vertical="center" wrapText="1"/>
    </xf>
    <xf numFmtId="178" fontId="13" fillId="13" borderId="1" xfId="0" applyNumberFormat="1" applyFont="1" applyFill="1" applyBorder="1" applyAlignment="1">
      <alignment horizontal="center" vertical="center" wrapText="1"/>
    </xf>
    <xf numFmtId="178" fontId="0" fillId="0" borderId="0" xfId="5" applyNumberFormat="1" applyFont="1" applyAlignment="1">
      <alignment horizontal="center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178" fontId="0" fillId="20" borderId="0" xfId="0" applyNumberFormat="1" applyFill="1">
      <alignment vertical="center"/>
    </xf>
    <xf numFmtId="178" fontId="0" fillId="20" borderId="0" xfId="0" applyNumberFormat="1" applyFill="1" applyAlignment="1">
      <alignment horizontal="right" vertical="center"/>
    </xf>
    <xf numFmtId="178" fontId="0" fillId="20" borderId="0" xfId="5" applyNumberFormat="1" applyFont="1" applyFill="1" applyAlignment="1">
      <alignment horizontal="center" vertical="center"/>
    </xf>
    <xf numFmtId="178" fontId="5" fillId="0" borderId="1" xfId="37" applyBorder="1" applyAlignment="1">
      <alignment horizontal="left" vertical="center"/>
    </xf>
    <xf numFmtId="178" fontId="1" fillId="0" borderId="16" xfId="36" applyBorder="1" applyAlignment="1">
      <alignment horizontal="left" vertical="center"/>
    </xf>
    <xf numFmtId="178" fontId="6" fillId="7" borderId="1" xfId="35" applyFont="1" applyFill="1" applyBorder="1" applyAlignment="1" applyProtection="1">
      <alignment horizontal="center" vertical="center" wrapText="1"/>
      <protection locked="0"/>
    </xf>
    <xf numFmtId="178" fontId="0" fillId="0" borderId="0" xfId="0" applyAlignment="1">
      <alignment horizontal="right" vertical="center"/>
    </xf>
    <xf numFmtId="181" fontId="0" fillId="0" borderId="0" xfId="0" applyNumberFormat="1">
      <alignment vertical="center"/>
    </xf>
    <xf numFmtId="178" fontId="26" fillId="0" borderId="0" xfId="0" applyFont="1" applyFill="1" applyBorder="1">
      <alignment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29" fillId="4" borderId="0" xfId="24" applyNumberFormat="1" applyFont="1" applyFill="1" applyBorder="1" applyAlignment="1">
      <alignment horizontal="center" vertical="center"/>
    </xf>
    <xf numFmtId="0" fontId="29" fillId="8" borderId="2" xfId="24" applyNumberFormat="1" applyFont="1" applyFill="1" applyBorder="1" applyAlignment="1">
      <alignment vertical="center"/>
    </xf>
    <xf numFmtId="0" fontId="29" fillId="30" borderId="1" xfId="24" applyNumberFormat="1" applyFont="1" applyFill="1" applyBorder="1" applyAlignment="1">
      <alignment horizontal="center" vertical="center"/>
    </xf>
    <xf numFmtId="0" fontId="29" fillId="30" borderId="1" xfId="24" applyNumberFormat="1" applyFont="1" applyFill="1" applyBorder="1" applyAlignment="1">
      <alignment horizontal="left" vertical="center"/>
    </xf>
    <xf numFmtId="0" fontId="29" fillId="30" borderId="1" xfId="24" applyNumberFormat="1" applyFont="1" applyFill="1" applyBorder="1" applyAlignment="1">
      <alignment vertical="center"/>
    </xf>
    <xf numFmtId="0" fontId="29" fillId="8" borderId="1" xfId="24" applyNumberFormat="1" applyFont="1" applyFill="1" applyBorder="1" applyAlignment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29" fillId="8" borderId="1" xfId="24" applyNumberFormat="1" applyFont="1" applyFill="1" applyBorder="1" applyAlignment="1">
      <alignment vertical="center"/>
    </xf>
    <xf numFmtId="0" fontId="29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6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29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28" fillId="20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4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29" fillId="0" borderId="1" xfId="22" applyNumberFormat="1" applyFont="1" applyBorder="1" applyAlignment="1">
      <alignment vertical="center"/>
    </xf>
    <xf numFmtId="0" fontId="29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6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2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2" fillId="7" borderId="1" xfId="2" applyNumberFormat="1" applyFont="1" applyFill="1" applyBorder="1" applyAlignment="1" applyProtection="1">
      <alignment vertical="center" wrapText="1"/>
      <protection locked="0"/>
    </xf>
    <xf numFmtId="0" fontId="3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2" fillId="34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1" xfId="2" applyNumberFormat="1" applyFont="1" applyFill="1" applyBorder="1" applyAlignment="1" applyProtection="1">
      <alignment vertical="center" wrapText="1"/>
      <protection locked="0"/>
    </xf>
    <xf numFmtId="0" fontId="32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4" borderId="1" xfId="0" applyNumberFormat="1" applyFont="1" applyFill="1" applyBorder="1" applyAlignment="1">
      <alignment horizontal="left" vertical="center"/>
    </xf>
    <xf numFmtId="0" fontId="9" fillId="14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5" fillId="4" borderId="0" xfId="2" applyNumberFormat="1" applyFont="1" applyFill="1" applyBorder="1" applyAlignment="1">
      <alignment vertical="center"/>
    </xf>
    <xf numFmtId="0" fontId="35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4" borderId="0" xfId="0" applyNumberFormat="1" applyFont="1" applyFill="1" applyProtection="1">
      <alignment vertical="center"/>
    </xf>
    <xf numFmtId="0" fontId="34" fillId="4" borderId="1" xfId="5" applyNumberFormat="1" applyFont="1" applyFill="1" applyBorder="1" applyAlignment="1" applyProtection="1">
      <alignment horizontal="center" vertical="center"/>
    </xf>
    <xf numFmtId="0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4" fillId="4" borderId="1" xfId="1" applyNumberFormat="1" applyFont="1" applyFill="1" applyBorder="1" applyAlignment="1" applyProtection="1">
      <alignment horizontal="center" vertical="center" wrapText="1"/>
    </xf>
    <xf numFmtId="0" fontId="30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6" borderId="1" xfId="0" applyNumberFormat="1" applyFont="1" applyFill="1" applyBorder="1" applyAlignment="1" applyProtection="1">
      <alignment horizontal="center" vertical="center"/>
    </xf>
    <xf numFmtId="0" fontId="30" fillId="6" borderId="1" xfId="0" applyNumberFormat="1" applyFont="1" applyFill="1" applyBorder="1" applyAlignment="1" applyProtection="1">
      <alignment horizontal="center" vertical="center" wrapText="1"/>
    </xf>
    <xf numFmtId="0" fontId="30" fillId="30" borderId="1" xfId="0" applyNumberFormat="1" applyFont="1" applyFill="1" applyBorder="1" applyAlignment="1" applyProtection="1">
      <alignment horizontal="center" vertical="center" wrapText="1"/>
    </xf>
    <xf numFmtId="0" fontId="30" fillId="30" borderId="2" xfId="0" applyNumberFormat="1" applyFont="1" applyFill="1" applyBorder="1" applyAlignment="1" applyProtection="1">
      <alignment horizontal="center" vertical="center" wrapText="1"/>
    </xf>
    <xf numFmtId="0" fontId="30" fillId="31" borderId="11" xfId="0" applyNumberFormat="1" applyFont="1" applyFill="1" applyBorder="1" applyAlignment="1" applyProtection="1">
      <alignment horizontal="center" vertical="center" wrapText="1"/>
    </xf>
    <xf numFmtId="0" fontId="30" fillId="31" borderId="1" xfId="0" applyNumberFormat="1" applyFont="1" applyFill="1" applyBorder="1" applyAlignment="1" applyProtection="1">
      <alignment horizontal="center" vertical="center" wrapText="1"/>
    </xf>
    <xf numFmtId="0" fontId="35" fillId="0" borderId="0" xfId="0" applyNumberFormat="1" applyFont="1" applyBorder="1" applyAlignment="1" applyProtection="1">
      <alignment horizontal="center" vertical="top"/>
    </xf>
    <xf numFmtId="0" fontId="3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11" xfId="2" applyNumberFormat="1" applyFont="1" applyBorder="1" applyAlignment="1">
      <alignment horizontal="center" vertical="center"/>
    </xf>
    <xf numFmtId="0" fontId="5" fillId="0" borderId="1" xfId="37" applyNumberFormat="1" applyBorder="1" applyAlignment="1">
      <alignment horizontal="left" vertical="center"/>
    </xf>
    <xf numFmtId="0" fontId="1" fillId="0" borderId="16" xfId="36" applyNumberFormat="1" applyBorder="1" applyAlignment="1">
      <alignment horizontal="left" vertical="center"/>
    </xf>
    <xf numFmtId="0" fontId="1" fillId="0" borderId="0" xfId="36" applyNumberFormat="1">
      <alignment vertical="center"/>
    </xf>
    <xf numFmtId="0" fontId="1" fillId="0" borderId="7" xfId="36" applyNumberFormat="1" applyBorder="1">
      <alignment vertical="center"/>
    </xf>
    <xf numFmtId="0" fontId="42" fillId="0" borderId="8" xfId="36" applyNumberFormat="1" applyFont="1" applyBorder="1" applyAlignment="1">
      <alignment horizontal="center" vertical="center"/>
    </xf>
    <xf numFmtId="0" fontId="1" fillId="0" borderId="10" xfId="36" applyNumberFormat="1" applyBorder="1" applyAlignment="1">
      <alignment horizontal="center" vertical="center"/>
    </xf>
    <xf numFmtId="0" fontId="5" fillId="0" borderId="1" xfId="37" applyNumberFormat="1" applyBorder="1">
      <alignment vertical="center"/>
    </xf>
    <xf numFmtId="0" fontId="1" fillId="9" borderId="1" xfId="36" applyNumberFormat="1" applyFill="1" applyBorder="1" applyAlignment="1">
      <alignment horizontal="center" vertical="center"/>
    </xf>
    <xf numFmtId="0" fontId="1" fillId="2" borderId="1" xfId="36" applyNumberFormat="1" applyFill="1" applyBorder="1" applyAlignment="1">
      <alignment horizontal="center" vertical="center"/>
    </xf>
    <xf numFmtId="0" fontId="1" fillId="3" borderId="1" xfId="36" applyNumberFormat="1" applyFill="1" applyBorder="1" applyAlignment="1">
      <alignment horizontal="center" vertical="center"/>
    </xf>
    <xf numFmtId="0" fontId="1" fillId="14" borderId="1" xfId="36" applyNumberFormat="1" applyFill="1" applyBorder="1" applyAlignment="1">
      <alignment horizontal="center" vertical="center"/>
    </xf>
    <xf numFmtId="0" fontId="1" fillId="14" borderId="14" xfId="36" applyNumberFormat="1" applyFill="1" applyBorder="1" applyAlignment="1">
      <alignment horizontal="center" vertical="center"/>
    </xf>
    <xf numFmtId="0" fontId="1" fillId="0" borderId="1" xfId="36" applyNumberFormat="1" applyBorder="1" applyAlignment="1">
      <alignment horizontal="center" vertical="center"/>
    </xf>
    <xf numFmtId="0" fontId="1" fillId="0" borderId="14" xfId="36" applyNumberFormat="1" applyBorder="1" applyAlignment="1">
      <alignment horizontal="center" vertical="center"/>
    </xf>
    <xf numFmtId="0" fontId="1" fillId="0" borderId="15" xfId="36" applyNumberFormat="1" applyFill="1" applyBorder="1" applyAlignment="1">
      <alignment horizontal="center" vertical="center"/>
    </xf>
    <xf numFmtId="0" fontId="1" fillId="0" borderId="16" xfId="36" applyNumberFormat="1" applyBorder="1" applyAlignment="1">
      <alignment horizontal="center" vertical="center"/>
    </xf>
    <xf numFmtId="0" fontId="1" fillId="0" borderId="16" xfId="36" applyNumberFormat="1" applyBorder="1">
      <alignment vertical="center"/>
    </xf>
    <xf numFmtId="0" fontId="1" fillId="0" borderId="17" xfId="36" applyNumberFormat="1" applyBorder="1">
      <alignment vertical="center"/>
    </xf>
    <xf numFmtId="0" fontId="1" fillId="0" borderId="0" xfId="36" applyNumberFormat="1" applyFill="1" applyBorder="1" applyAlignment="1">
      <alignment horizontal="center" vertical="center"/>
    </xf>
    <xf numFmtId="0" fontId="1" fillId="0" borderId="0" xfId="36" applyNumberFormat="1" applyAlignment="1">
      <alignment horizontal="left" vertical="center"/>
    </xf>
    <xf numFmtId="0" fontId="29" fillId="30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3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3" borderId="1" xfId="24" applyNumberFormat="1" applyFont="1" applyFill="1" applyBorder="1" applyAlignment="1">
      <alignment horizontal="left" vertical="center"/>
    </xf>
    <xf numFmtId="0" fontId="44" fillId="0" borderId="0" xfId="43" applyNumberFormat="1" applyFont="1" applyAlignment="1">
      <alignment horizontal="left" vertical="center"/>
    </xf>
    <xf numFmtId="0" fontId="30" fillId="0" borderId="0" xfId="43" applyNumberFormat="1" applyFont="1" applyAlignment="1">
      <alignment vertical="center"/>
    </xf>
    <xf numFmtId="0" fontId="44" fillId="0" borderId="0" xfId="43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0" fillId="4" borderId="11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/>
    </xf>
    <xf numFmtId="0" fontId="30" fillId="4" borderId="1" xfId="43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29" fillId="4" borderId="1" xfId="24" applyNumberFormat="1" applyFont="1" applyFill="1" applyBorder="1" applyAlignment="1">
      <alignment vertical="center" wrapText="1"/>
    </xf>
    <xf numFmtId="0" fontId="47" fillId="4" borderId="13" xfId="43" applyNumberFormat="1" applyFont="1" applyFill="1" applyBorder="1" applyAlignment="1">
      <alignment vertical="center"/>
    </xf>
    <xf numFmtId="0" fontId="30" fillId="0" borderId="13" xfId="24" applyNumberFormat="1" applyFont="1" applyFill="1" applyBorder="1" applyAlignment="1">
      <alignment horizontal="left" vertical="center"/>
    </xf>
    <xf numFmtId="0" fontId="30" fillId="2" borderId="11" xfId="43" applyNumberFormat="1" applyFont="1" applyFill="1" applyBorder="1" applyAlignment="1">
      <alignment vertical="center"/>
    </xf>
    <xf numFmtId="0" fontId="37" fillId="4" borderId="13" xfId="43" applyNumberFormat="1" applyFont="1" applyFill="1" applyBorder="1" applyAlignment="1">
      <alignment vertical="center"/>
    </xf>
    <xf numFmtId="0" fontId="29" fillId="4" borderId="11" xfId="43" applyNumberFormat="1" applyFont="1" applyFill="1" applyBorder="1" applyAlignment="1">
      <alignment vertical="center"/>
    </xf>
    <xf numFmtId="0" fontId="29" fillId="4" borderId="13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 wrapText="1"/>
    </xf>
    <xf numFmtId="0" fontId="30" fillId="4" borderId="13" xfId="24" applyNumberFormat="1" applyFont="1" applyFill="1" applyBorder="1" applyAlignment="1">
      <alignment horizontal="left" vertical="center" shrinkToFit="1"/>
    </xf>
    <xf numFmtId="0" fontId="30" fillId="4" borderId="13" xfId="24" applyNumberFormat="1" applyFont="1" applyFill="1" applyBorder="1" applyAlignment="1">
      <alignment horizontal="left" vertical="center"/>
    </xf>
    <xf numFmtId="0" fontId="46" fillId="4" borderId="1" xfId="43" applyNumberFormat="1" applyFont="1" applyFill="1" applyBorder="1" applyAlignment="1">
      <alignment horizontal="center" vertical="center"/>
    </xf>
    <xf numFmtId="0" fontId="43" fillId="4" borderId="13" xfId="43" applyNumberFormat="1" applyFont="1" applyFill="1" applyBorder="1" applyAlignment="1">
      <alignment vertical="center"/>
    </xf>
    <xf numFmtId="0" fontId="29" fillId="4" borderId="1" xfId="43" applyNumberFormat="1" applyFont="1" applyFill="1" applyBorder="1" applyAlignment="1">
      <alignment vertical="center"/>
    </xf>
    <xf numFmtId="0" fontId="29" fillId="0" borderId="13" xfId="24" applyNumberFormat="1" applyFont="1" applyFill="1" applyBorder="1" applyAlignment="1">
      <alignment horizontal="left" vertical="center"/>
    </xf>
    <xf numFmtId="0" fontId="29" fillId="0" borderId="13" xfId="24" applyNumberFormat="1" applyFont="1" applyBorder="1" applyAlignment="1">
      <alignment horizontal="left" vertical="center"/>
    </xf>
    <xf numFmtId="0" fontId="30" fillId="0" borderId="0" xfId="43" applyNumberFormat="1" applyFont="1" applyAlignment="1">
      <alignment horizontal="center" vertical="center"/>
    </xf>
    <xf numFmtId="0" fontId="30" fillId="6" borderId="1" xfId="0" applyNumberFormat="1" applyFont="1" applyFill="1" applyBorder="1" applyAlignment="1">
      <alignment horizontal="center" vertical="center" wrapText="1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0" fillId="20" borderId="11" xfId="43" applyNumberFormat="1" applyFont="1" applyFill="1" applyBorder="1" applyAlignment="1">
      <alignment vertical="center"/>
    </xf>
    <xf numFmtId="0" fontId="30" fillId="20" borderId="1" xfId="43" applyNumberFormat="1" applyFont="1" applyFill="1" applyBorder="1" applyAlignment="1">
      <alignment vertical="center"/>
    </xf>
    <xf numFmtId="0" fontId="29" fillId="4" borderId="1" xfId="22" applyNumberFormat="1" applyFont="1" applyFill="1" applyBorder="1" applyAlignment="1">
      <alignment vertical="center"/>
    </xf>
    <xf numFmtId="0" fontId="29" fillId="20" borderId="11" xfId="43" applyNumberFormat="1" applyFont="1" applyFill="1" applyBorder="1" applyAlignment="1">
      <alignment vertical="center"/>
    </xf>
    <xf numFmtId="0" fontId="29" fillId="20" borderId="6" xfId="42" applyFont="1" applyFill="1" applyBorder="1" applyAlignment="1">
      <alignment horizontal="left" vertical="center"/>
    </xf>
    <xf numFmtId="0" fontId="29" fillId="4" borderId="12" xfId="42" applyFont="1" applyFill="1" applyBorder="1" applyAlignment="1">
      <alignment horizontal="left" vertical="center" shrinkToFit="1"/>
    </xf>
    <xf numFmtId="0" fontId="29" fillId="20" borderId="11" xfId="42" applyFont="1" applyFill="1" applyBorder="1" applyAlignment="1">
      <alignment horizontal="left" vertical="center"/>
    </xf>
    <xf numFmtId="0" fontId="29" fillId="0" borderId="12" xfId="42" applyFont="1" applyBorder="1" applyAlignment="1">
      <alignment horizontal="left" vertical="center" shrinkToFit="1"/>
    </xf>
    <xf numFmtId="0" fontId="30" fillId="2" borderId="1" xfId="43" applyNumberFormat="1" applyFont="1" applyFill="1" applyBorder="1" applyAlignment="1">
      <alignment horizontal="center" vertical="center"/>
    </xf>
    <xf numFmtId="0" fontId="30" fillId="4" borderId="0" xfId="43" applyNumberFormat="1" applyFont="1" applyFill="1" applyAlignment="1">
      <alignment vertical="center"/>
    </xf>
    <xf numFmtId="0" fontId="2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left" vertical="center"/>
    </xf>
    <xf numFmtId="0" fontId="29" fillId="32" borderId="1" xfId="24" applyNumberFormat="1" applyFont="1" applyFill="1" applyBorder="1" applyAlignment="1">
      <alignment vertical="center"/>
    </xf>
    <xf numFmtId="0" fontId="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center" vertical="center" wrapText="1"/>
    </xf>
    <xf numFmtId="0" fontId="9" fillId="32" borderId="1" xfId="24" applyNumberFormat="1" applyFont="1" applyFill="1" applyBorder="1">
      <alignment vertical="center"/>
    </xf>
    <xf numFmtId="0" fontId="29" fillId="8" borderId="1" xfId="24" applyNumberFormat="1" applyFont="1" applyFill="1" applyBorder="1" applyAlignment="1">
      <alignment horizontal="center" vertical="center"/>
    </xf>
    <xf numFmtId="0" fontId="31" fillId="4" borderId="1" xfId="43" applyNumberFormat="1" applyFont="1" applyFill="1" applyBorder="1" applyAlignment="1">
      <alignment vertical="center"/>
    </xf>
    <xf numFmtId="0" fontId="31" fillId="20" borderId="1" xfId="43" applyNumberFormat="1" applyFont="1" applyFill="1" applyBorder="1" applyAlignment="1">
      <alignment vertical="center"/>
    </xf>
    <xf numFmtId="0" fontId="49" fillId="2" borderId="1" xfId="22" applyNumberFormat="1" applyFont="1" applyFill="1" applyBorder="1" applyAlignment="1">
      <alignment vertical="center"/>
    </xf>
    <xf numFmtId="0" fontId="30" fillId="8" borderId="1" xfId="43" applyNumberFormat="1" applyFont="1" applyFill="1" applyBorder="1" applyAlignment="1">
      <alignment horizontal="center" vertical="center"/>
    </xf>
    <xf numFmtId="0" fontId="29" fillId="33" borderId="6" xfId="42" applyFont="1" applyFill="1" applyBorder="1" applyAlignment="1">
      <alignment horizontal="left" vertical="center"/>
    </xf>
    <xf numFmtId="0" fontId="29" fillId="33" borderId="11" xfId="42" applyFont="1" applyFill="1" applyBorder="1" applyAlignment="1">
      <alignment horizontal="left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50" fillId="11" borderId="12" xfId="2" applyNumberFormat="1" applyFont="1" applyFill="1" applyBorder="1" applyAlignment="1" applyProtection="1">
      <alignment vertical="center"/>
      <protection locked="0"/>
    </xf>
    <xf numFmtId="0" fontId="50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1" fillId="13" borderId="1" xfId="0" applyNumberFormat="1" applyFont="1" applyFill="1" applyBorder="1" applyAlignment="1">
      <alignment horizontal="center" vertical="center" wrapText="1"/>
    </xf>
    <xf numFmtId="0" fontId="50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0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2" fillId="0" borderId="0" xfId="0" applyNumberFormat="1" applyFont="1" applyAlignment="1">
      <alignment horizontal="center" vertical="center"/>
    </xf>
    <xf numFmtId="0" fontId="53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178" fontId="0" fillId="2" borderId="0" xfId="0" applyFill="1" applyBorder="1" applyAlignment="1">
      <alignment horizontal="left" vertical="center"/>
    </xf>
    <xf numFmtId="0" fontId="5" fillId="0" borderId="0" xfId="41" applyFill="1" applyBorder="1" applyAlignment="1">
      <alignment horizontal="left" vertical="center"/>
    </xf>
    <xf numFmtId="0" fontId="5" fillId="0" borderId="0" xfId="41" applyBorder="1" applyAlignment="1">
      <alignment horizontal="left" vertical="center"/>
    </xf>
    <xf numFmtId="178" fontId="57" fillId="0" borderId="22" xfId="0" applyFont="1" applyBorder="1">
      <alignment vertical="center"/>
    </xf>
    <xf numFmtId="178" fontId="24" fillId="2" borderId="0" xfId="0" applyFont="1" applyFill="1" applyBorder="1" applyAlignment="1">
      <alignment horizontal="left" vertical="center"/>
    </xf>
    <xf numFmtId="178" fontId="7" fillId="2" borderId="0" xfId="0" applyFont="1" applyFill="1" applyBorder="1" applyAlignment="1">
      <alignment horizontal="left" vertical="center"/>
    </xf>
    <xf numFmtId="0" fontId="47" fillId="8" borderId="13" xfId="43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left" vertical="center"/>
    </xf>
    <xf numFmtId="0" fontId="9" fillId="31" borderId="1" xfId="24" applyNumberFormat="1" applyFont="1" applyFill="1" applyBorder="1" applyAlignment="1">
      <alignment horizontal="left" vertical="top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2" borderId="13" xfId="43" applyNumberFormat="1" applyFont="1" applyFill="1" applyBorder="1" applyAlignment="1">
      <alignment vertical="center"/>
    </xf>
    <xf numFmtId="0" fontId="60" fillId="0" borderId="0" xfId="0" applyNumberFormat="1" applyFont="1">
      <alignment vertical="center"/>
    </xf>
    <xf numFmtId="0" fontId="60" fillId="5" borderId="0" xfId="0" applyNumberFormat="1" applyFont="1" applyFill="1" applyAlignment="1">
      <alignment vertical="center"/>
    </xf>
    <xf numFmtId="0" fontId="60" fillId="24" borderId="0" xfId="0" applyNumberFormat="1" applyFont="1" applyFill="1" applyBorder="1" applyAlignment="1">
      <alignment horizontal="left" vertical="center"/>
    </xf>
    <xf numFmtId="0" fontId="60" fillId="24" borderId="0" xfId="0" applyNumberFormat="1" applyFont="1" applyFill="1">
      <alignment vertical="center"/>
    </xf>
    <xf numFmtId="0" fontId="60" fillId="0" borderId="0" xfId="0" applyNumberFormat="1" applyFont="1" applyAlignment="1">
      <alignment vertical="center" wrapText="1"/>
    </xf>
    <xf numFmtId="0" fontId="60" fillId="19" borderId="0" xfId="0" applyNumberFormat="1" applyFont="1" applyFill="1" applyAlignment="1">
      <alignment vertical="center"/>
    </xf>
    <xf numFmtId="0" fontId="60" fillId="27" borderId="0" xfId="0" applyNumberFormat="1" applyFont="1" applyFill="1" applyAlignment="1">
      <alignment vertical="center"/>
    </xf>
    <xf numFmtId="0" fontId="60" fillId="21" borderId="0" xfId="0" applyNumberFormat="1" applyFont="1" applyFill="1" applyAlignment="1">
      <alignment vertical="center"/>
    </xf>
    <xf numFmtId="0" fontId="60" fillId="18" borderId="0" xfId="0" applyNumberFormat="1" applyFont="1" applyFill="1" applyAlignment="1">
      <alignment vertical="center"/>
    </xf>
    <xf numFmtId="0" fontId="60" fillId="22" borderId="0" xfId="0" applyNumberFormat="1" applyFont="1" applyFill="1" applyAlignment="1">
      <alignment vertical="center"/>
    </xf>
    <xf numFmtId="0" fontId="60" fillId="15" borderId="0" xfId="0" applyNumberFormat="1" applyFont="1" applyFill="1" applyAlignment="1">
      <alignment vertical="center"/>
    </xf>
    <xf numFmtId="0" fontId="60" fillId="3" borderId="0" xfId="0" applyNumberFormat="1" applyFont="1" applyFill="1" applyAlignment="1">
      <alignment vertical="center"/>
    </xf>
    <xf numFmtId="0" fontId="60" fillId="17" borderId="0" xfId="0" applyNumberFormat="1" applyFont="1" applyFill="1" applyAlignment="1">
      <alignment vertical="center"/>
    </xf>
    <xf numFmtId="178" fontId="60" fillId="27" borderId="0" xfId="0" applyFont="1" applyFill="1" applyAlignment="1">
      <alignment vertical="center"/>
    </xf>
    <xf numFmtId="0" fontId="60" fillId="16" borderId="0" xfId="0" applyNumberFormat="1" applyFont="1" applyFill="1" applyAlignment="1">
      <alignment vertical="center"/>
    </xf>
    <xf numFmtId="0" fontId="60" fillId="28" borderId="0" xfId="0" applyNumberFormat="1" applyFont="1" applyFill="1" applyAlignment="1">
      <alignment vertical="center"/>
    </xf>
    <xf numFmtId="0" fontId="60" fillId="23" borderId="0" xfId="0" applyNumberFormat="1" applyFont="1" applyFill="1" applyAlignment="1">
      <alignment vertical="center"/>
    </xf>
    <xf numFmtId="0" fontId="60" fillId="7" borderId="0" xfId="0" applyNumberFormat="1" applyFont="1" applyFill="1" applyAlignment="1">
      <alignment vertical="center"/>
    </xf>
    <xf numFmtId="178" fontId="60" fillId="35" borderId="0" xfId="0" applyFont="1" applyFill="1" applyAlignment="1">
      <alignment vertical="center"/>
    </xf>
    <xf numFmtId="178" fontId="60" fillId="18" borderId="0" xfId="0" applyFont="1" applyFill="1" applyAlignment="1">
      <alignment vertical="center"/>
    </xf>
    <xf numFmtId="0" fontId="60" fillId="10" borderId="0" xfId="0" applyNumberFormat="1" applyFont="1" applyFill="1" applyAlignment="1">
      <alignment vertical="center"/>
    </xf>
    <xf numFmtId="0" fontId="60" fillId="25" borderId="0" xfId="0" applyNumberFormat="1" applyFont="1" applyFill="1" applyAlignment="1">
      <alignment vertical="center"/>
    </xf>
    <xf numFmtId="0" fontId="60" fillId="0" borderId="0" xfId="0" applyNumberFormat="1" applyFont="1" applyFill="1" applyAlignment="1">
      <alignment vertical="center"/>
    </xf>
    <xf numFmtId="178" fontId="62" fillId="37" borderId="0" xfId="0" applyFont="1" applyFill="1">
      <alignment vertical="center"/>
    </xf>
    <xf numFmtId="178" fontId="60" fillId="2" borderId="0" xfId="0" applyFont="1" applyFill="1">
      <alignment vertical="center"/>
    </xf>
    <xf numFmtId="178" fontId="62" fillId="38" borderId="0" xfId="0" applyFont="1" applyFill="1" applyAlignment="1">
      <alignment vertical="center"/>
    </xf>
    <xf numFmtId="0" fontId="63" fillId="0" borderId="0" xfId="0" applyNumberFormat="1" applyFont="1">
      <alignment vertical="center"/>
    </xf>
    <xf numFmtId="0" fontId="60" fillId="2" borderId="0" xfId="0" applyNumberFormat="1" applyFont="1" applyFill="1" applyAlignment="1">
      <alignment vertical="center"/>
    </xf>
    <xf numFmtId="0" fontId="60" fillId="29" borderId="0" xfId="0" applyNumberFormat="1" applyFont="1" applyFill="1" applyAlignment="1">
      <alignment vertical="center"/>
    </xf>
    <xf numFmtId="0" fontId="60" fillId="26" borderId="0" xfId="0" applyNumberFormat="1" applyFont="1" applyFill="1" applyAlignment="1">
      <alignment vertical="center"/>
    </xf>
    <xf numFmtId="0" fontId="60" fillId="18" borderId="0" xfId="0" applyNumberFormat="1" applyFont="1" applyFill="1" applyAlignment="1">
      <alignment vertical="center" wrapText="1"/>
    </xf>
    <xf numFmtId="0" fontId="61" fillId="27" borderId="0" xfId="0" applyNumberFormat="1" applyFont="1" applyFill="1" applyAlignment="1">
      <alignment vertical="center"/>
    </xf>
    <xf numFmtId="0" fontId="61" fillId="4" borderId="0" xfId="0" applyNumberFormat="1" applyFont="1" applyFill="1">
      <alignment vertical="center"/>
    </xf>
    <xf numFmtId="178" fontId="61" fillId="35" borderId="0" xfId="0" applyFont="1" applyFill="1" applyAlignment="1">
      <alignment vertical="center"/>
    </xf>
    <xf numFmtId="178" fontId="61" fillId="18" borderId="0" xfId="0" applyFont="1" applyFill="1" applyAlignment="1">
      <alignment vertical="center"/>
    </xf>
    <xf numFmtId="0" fontId="61" fillId="19" borderId="0" xfId="0" applyNumberFormat="1" applyFont="1" applyFill="1" applyAlignment="1">
      <alignment vertical="center"/>
    </xf>
    <xf numFmtId="178" fontId="61" fillId="36" borderId="0" xfId="0" applyFont="1" applyFill="1" applyAlignment="1">
      <alignment vertical="center"/>
    </xf>
    <xf numFmtId="0" fontId="61" fillId="23" borderId="0" xfId="0" applyNumberFormat="1" applyFont="1" applyFill="1" applyAlignment="1">
      <alignment vertical="center"/>
    </xf>
    <xf numFmtId="0" fontId="61" fillId="29" borderId="0" xfId="0" applyNumberFormat="1" applyFont="1" applyFill="1" applyAlignment="1">
      <alignment vertical="center"/>
    </xf>
    <xf numFmtId="0" fontId="61" fillId="18" borderId="0" xfId="0" applyNumberFormat="1" applyFont="1" applyFill="1" applyAlignment="1">
      <alignment vertical="center"/>
    </xf>
    <xf numFmtId="0" fontId="61" fillId="15" borderId="0" xfId="0" applyNumberFormat="1" applyFont="1" applyFill="1" applyAlignment="1">
      <alignment vertical="center"/>
    </xf>
    <xf numFmtId="178" fontId="60" fillId="4" borderId="0" xfId="0" applyFont="1" applyFill="1" applyAlignment="1">
      <alignment vertical="center"/>
    </xf>
    <xf numFmtId="178" fontId="61" fillId="4" borderId="0" xfId="0" applyFont="1" applyFill="1" applyAlignment="1">
      <alignment vertical="center"/>
    </xf>
    <xf numFmtId="0" fontId="29" fillId="0" borderId="13" xfId="22" applyNumberFormat="1" applyFont="1" applyBorder="1" applyAlignment="1">
      <alignment vertical="center"/>
    </xf>
    <xf numFmtId="0" fontId="30" fillId="20" borderId="3" xfId="43" applyNumberFormat="1" applyFont="1" applyFill="1" applyBorder="1" applyAlignment="1">
      <alignment vertical="center"/>
    </xf>
    <xf numFmtId="0" fontId="30" fillId="20" borderId="2" xfId="43" applyNumberFormat="1" applyFont="1" applyFill="1" applyBorder="1" applyAlignment="1">
      <alignment vertical="center"/>
    </xf>
    <xf numFmtId="0" fontId="30" fillId="4" borderId="4" xfId="43" applyNumberFormat="1" applyFont="1" applyFill="1" applyBorder="1" applyAlignment="1">
      <alignment vertical="center"/>
    </xf>
    <xf numFmtId="0" fontId="30" fillId="0" borderId="5" xfId="43" applyNumberFormat="1" applyFont="1" applyBorder="1" applyAlignment="1">
      <alignment horizontal="center" vertical="center"/>
    </xf>
    <xf numFmtId="0" fontId="30" fillId="20" borderId="6" xfId="43" applyNumberFormat="1" applyFont="1" applyFill="1" applyBorder="1" applyAlignment="1">
      <alignment vertical="center"/>
    </xf>
    <xf numFmtId="0" fontId="30" fillId="20" borderId="5" xfId="43" applyNumberFormat="1" applyFont="1" applyFill="1" applyBorder="1" applyAlignment="1">
      <alignment vertical="center"/>
    </xf>
    <xf numFmtId="0" fontId="30" fillId="0" borderId="21" xfId="24" applyNumberFormat="1" applyFont="1" applyFill="1" applyBorder="1" applyAlignment="1">
      <alignment horizontal="left" vertical="center"/>
    </xf>
    <xf numFmtId="0" fontId="30" fillId="20" borderId="24" xfId="43" applyNumberFormat="1" applyFont="1" applyFill="1" applyBorder="1" applyAlignment="1">
      <alignment vertical="center"/>
    </xf>
    <xf numFmtId="0" fontId="30" fillId="20" borderId="8" xfId="43" applyNumberFormat="1" applyFont="1" applyFill="1" applyBorder="1" applyAlignment="1">
      <alignment vertical="center"/>
    </xf>
    <xf numFmtId="0" fontId="30" fillId="4" borderId="25" xfId="43" applyNumberFormat="1" applyFont="1" applyFill="1" applyBorder="1" applyAlignment="1">
      <alignment vertical="center"/>
    </xf>
    <xf numFmtId="0" fontId="30" fillId="4" borderId="27" xfId="43" applyNumberFormat="1" applyFont="1" applyFill="1" applyBorder="1" applyAlignment="1">
      <alignment vertical="center"/>
    </xf>
    <xf numFmtId="0" fontId="43" fillId="4" borderId="27" xfId="43" applyNumberFormat="1" applyFont="1" applyFill="1" applyBorder="1" applyAlignment="1">
      <alignment vertical="center" wrapText="1"/>
    </xf>
    <xf numFmtId="0" fontId="43" fillId="4" borderId="27" xfId="43" applyNumberFormat="1" applyFont="1" applyFill="1" applyBorder="1" applyAlignment="1">
      <alignment vertical="center"/>
    </xf>
    <xf numFmtId="0" fontId="30" fillId="20" borderId="29" xfId="43" applyNumberFormat="1" applyFont="1" applyFill="1" applyBorder="1" applyAlignment="1">
      <alignment vertical="center"/>
    </xf>
    <xf numFmtId="0" fontId="30" fillId="20" borderId="16" xfId="43" applyNumberFormat="1" applyFont="1" applyFill="1" applyBorder="1" applyAlignment="1">
      <alignment vertical="center"/>
    </xf>
    <xf numFmtId="0" fontId="43" fillId="4" borderId="30" xfId="43" applyNumberFormat="1" applyFont="1" applyFill="1" applyBorder="1" applyAlignment="1">
      <alignment vertical="center"/>
    </xf>
    <xf numFmtId="0" fontId="1" fillId="0" borderId="0" xfId="36" applyNumberFormat="1" applyBorder="1" applyAlignment="1">
      <alignment horizontal="center" vertical="center"/>
    </xf>
    <xf numFmtId="0" fontId="1" fillId="2" borderId="8" xfId="36" applyNumberFormat="1" applyFill="1" applyBorder="1" applyAlignment="1">
      <alignment horizontal="center" vertical="center"/>
    </xf>
    <xf numFmtId="0" fontId="1" fillId="0" borderId="8" xfId="36" applyNumberFormat="1" applyBorder="1" applyAlignment="1">
      <alignment horizontal="center" vertical="center"/>
    </xf>
    <xf numFmtId="0" fontId="1" fillId="3" borderId="8" xfId="36" applyNumberFormat="1" applyFill="1" applyBorder="1" applyAlignment="1">
      <alignment horizontal="center" vertical="center"/>
    </xf>
    <xf numFmtId="0" fontId="1" fillId="14" borderId="8" xfId="36" applyNumberFormat="1" applyFill="1" applyBorder="1" applyAlignment="1">
      <alignment horizontal="center" vertical="center"/>
    </xf>
    <xf numFmtId="0" fontId="1" fillId="0" borderId="9" xfId="36" applyNumberFormat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29" fillId="4" borderId="1" xfId="24" applyNumberFormat="1" applyFont="1" applyFill="1" applyBorder="1" applyAlignment="1">
      <alignment horizontal="center" vertical="center" wrapText="1"/>
    </xf>
    <xf numFmtId="0" fontId="18" fillId="30" borderId="2" xfId="24" applyNumberFormat="1" applyFont="1" applyFill="1" applyBorder="1" applyAlignment="1" applyProtection="1">
      <alignment horizontal="center" vertical="center"/>
    </xf>
    <xf numFmtId="0" fontId="18" fillId="30" borderId="19" xfId="24" applyNumberFormat="1" applyFont="1" applyFill="1" applyBorder="1" applyAlignment="1" applyProtection="1">
      <alignment horizontal="center" vertical="center"/>
    </xf>
    <xf numFmtId="0" fontId="29" fillId="0" borderId="5" xfId="24" applyNumberFormat="1" applyFont="1" applyBorder="1" applyAlignment="1">
      <alignment horizontal="center" vertical="center"/>
    </xf>
    <xf numFmtId="0" fontId="41" fillId="34" borderId="2" xfId="43" applyNumberFormat="1" applyFont="1" applyFill="1" applyBorder="1" applyAlignment="1">
      <alignment horizontal="center" vertical="center"/>
    </xf>
    <xf numFmtId="0" fontId="41" fillId="34" borderId="5" xfId="43" applyNumberFormat="1" applyFont="1" applyFill="1" applyBorder="1" applyAlignment="1">
      <alignment horizontal="center" vertical="center"/>
    </xf>
    <xf numFmtId="0" fontId="41" fillId="34" borderId="3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6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1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4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21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2" xfId="43" applyNumberFormat="1" applyFont="1" applyFill="1" applyBorder="1" applyAlignment="1">
      <alignment vertical="center"/>
    </xf>
    <xf numFmtId="0" fontId="1" fillId="0" borderId="5" xfId="42" applyBorder="1" applyAlignment="1">
      <alignment vertical="center"/>
    </xf>
    <xf numFmtId="0" fontId="18" fillId="30" borderId="11" xfId="24" applyNumberFormat="1" applyFont="1" applyFill="1" applyBorder="1" applyAlignment="1" applyProtection="1">
      <alignment horizontal="center" vertical="center" wrapText="1"/>
    </xf>
    <xf numFmtId="0" fontId="18" fillId="30" borderId="12" xfId="24" applyNumberFormat="1" applyFont="1" applyFill="1" applyBorder="1" applyAlignment="1" applyProtection="1">
      <alignment horizontal="center" vertical="center" wrapText="1"/>
    </xf>
    <xf numFmtId="0" fontId="18" fillId="30" borderId="13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30" fillId="0" borderId="1" xfId="43" applyNumberFormat="1" applyFont="1" applyBorder="1" applyAlignment="1">
      <alignment horizontal="center" vertical="center"/>
    </xf>
    <xf numFmtId="0" fontId="29" fillId="0" borderId="1" xfId="24" applyNumberFormat="1" applyFont="1" applyBorder="1" applyAlignment="1">
      <alignment horizontal="center" vertical="center"/>
    </xf>
    <xf numFmtId="0" fontId="30" fillId="0" borderId="2" xfId="43" applyNumberFormat="1" applyFont="1" applyBorder="1" applyAlignment="1">
      <alignment horizontal="center" vertical="center"/>
    </xf>
    <xf numFmtId="0" fontId="30" fillId="0" borderId="19" xfId="43" applyNumberFormat="1" applyFont="1" applyBorder="1" applyAlignment="1">
      <alignment horizontal="center" vertical="center"/>
    </xf>
    <xf numFmtId="0" fontId="30" fillId="4" borderId="4" xfId="43" applyNumberFormat="1" applyFont="1" applyFill="1" applyBorder="1" applyAlignment="1">
      <alignment horizontal="left" vertical="center" wrapText="1"/>
    </xf>
    <xf numFmtId="0" fontId="30" fillId="4" borderId="20" xfId="43" applyNumberFormat="1" applyFont="1" applyFill="1" applyBorder="1" applyAlignment="1">
      <alignment horizontal="left" vertical="center" wrapText="1"/>
    </xf>
    <xf numFmtId="0" fontId="30" fillId="4" borderId="21" xfId="43" applyNumberFormat="1" applyFont="1" applyFill="1" applyBorder="1" applyAlignment="1">
      <alignment horizontal="left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29" fillId="0" borderId="2" xfId="24" applyNumberFormat="1" applyFont="1" applyBorder="1" applyAlignment="1">
      <alignment horizontal="center" vertical="center"/>
    </xf>
    <xf numFmtId="0" fontId="30" fillId="0" borderId="23" xfId="43" applyNumberFormat="1" applyFont="1" applyBorder="1" applyAlignment="1">
      <alignment horizontal="center" vertical="center"/>
    </xf>
    <xf numFmtId="0" fontId="30" fillId="0" borderId="26" xfId="43" applyNumberFormat="1" applyFont="1" applyBorder="1" applyAlignment="1">
      <alignment horizontal="center" vertical="center"/>
    </xf>
    <xf numFmtId="0" fontId="30" fillId="0" borderId="28" xfId="43" applyNumberFormat="1" applyFont="1" applyBorder="1" applyAlignment="1">
      <alignment horizontal="center" vertical="center"/>
    </xf>
    <xf numFmtId="0" fontId="50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0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0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32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178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8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8" fontId="6" fillId="13" borderId="11" xfId="0" applyNumberFormat="1" applyFont="1" applyFill="1" applyBorder="1" applyAlignment="1">
      <alignment horizontal="center" vertical="center" wrapText="1"/>
    </xf>
    <xf numFmtId="178" fontId="6" fillId="13" borderId="13" xfId="0" applyNumberFormat="1" applyFont="1" applyFill="1" applyBorder="1" applyAlignment="1">
      <alignment horizontal="center" vertical="center" wrapText="1"/>
    </xf>
    <xf numFmtId="178" fontId="6" fillId="11" borderId="11" xfId="2" applyFont="1" applyFill="1" applyBorder="1" applyAlignment="1" applyProtection="1">
      <alignment horizontal="center" vertical="center" wrapText="1"/>
      <protection locked="0"/>
    </xf>
    <xf numFmtId="178" fontId="6" fillId="11" borderId="12" xfId="2" applyFont="1" applyFill="1" applyBorder="1" applyAlignment="1" applyProtection="1">
      <alignment horizontal="center" vertical="center" wrapText="1"/>
      <protection locked="0"/>
    </xf>
    <xf numFmtId="0" fontId="46" fillId="2" borderId="13" xfId="43" applyNumberFormat="1" applyFont="1" applyFill="1" applyBorder="1" applyAlignment="1">
      <alignment vertical="center"/>
    </xf>
  </cellXfs>
  <cellStyles count="44">
    <cellStyle name="AutoFormat Options" xfId="1" xr:uid="{00000000-0005-0000-0000-000000000000}"/>
    <cellStyle name="AutoFormat Options 2" xfId="28" xr:uid="{00000000-0005-0000-0000-000001000000}"/>
    <cellStyle name="MS Sans Serif" xfId="4" xr:uid="{00000000-0005-0000-0000-000002000000}"/>
    <cellStyle name="MS Sans Serif 2 2" xfId="27" xr:uid="{00000000-0005-0000-0000-000003000000}"/>
    <cellStyle name="MS Sans Serif 2 2 4" xfId="9" xr:uid="{00000000-0005-0000-0000-000004000000}"/>
    <cellStyle name="MS Sans Serif 5 3 2" xfId="15" xr:uid="{00000000-0005-0000-0000-000005000000}"/>
    <cellStyle name="一般" xfId="0" builtinId="0"/>
    <cellStyle name="一般 10 10 2 3 2" xfId="11" xr:uid="{00000000-0005-0000-0000-000007000000}"/>
    <cellStyle name="一般 10 10 3 2" xfId="12" xr:uid="{00000000-0005-0000-0000-000008000000}"/>
    <cellStyle name="一般 10 27" xfId="14" xr:uid="{00000000-0005-0000-0000-000009000000}"/>
    <cellStyle name="一般 10 27 2" xfId="8" xr:uid="{00000000-0005-0000-0000-00000A000000}"/>
    <cellStyle name="一般 154" xfId="25" xr:uid="{00000000-0005-0000-0000-00000B000000}"/>
    <cellStyle name="一般 2" xfId="2" xr:uid="{00000000-0005-0000-0000-00000C000000}"/>
    <cellStyle name="一般 2 10" xfId="35" xr:uid="{00000000-0005-0000-0000-00000D000000}"/>
    <cellStyle name="一般 2 2" xfId="26" xr:uid="{00000000-0005-0000-0000-00000E000000}"/>
    <cellStyle name="一般 2 2 2" xfId="43" xr:uid="{00000000-0005-0000-0000-00000F000000}"/>
    <cellStyle name="一般 2 2 2 3" xfId="3" xr:uid="{00000000-0005-0000-0000-000010000000}"/>
    <cellStyle name="一般 2 2 2 3 2" xfId="37" xr:uid="{00000000-0005-0000-0000-000011000000}"/>
    <cellStyle name="一般 2 2 2 3 2 2" xfId="41" xr:uid="{00000000-0005-0000-0000-000012000000}"/>
    <cellStyle name="一般 3" xfId="22" xr:uid="{00000000-0005-0000-0000-000013000000}"/>
    <cellStyle name="一般 3 11" xfId="21" xr:uid="{00000000-0005-0000-0000-000014000000}"/>
    <cellStyle name="一般 3 13" xfId="23" xr:uid="{00000000-0005-0000-0000-000015000000}"/>
    <cellStyle name="一般 3 2" xfId="40" xr:uid="{00000000-0005-0000-0000-000016000000}"/>
    <cellStyle name="一般 4" xfId="24" xr:uid="{00000000-0005-0000-0000-000017000000}"/>
    <cellStyle name="一般 44" xfId="29" xr:uid="{00000000-0005-0000-0000-000018000000}"/>
    <cellStyle name="一般 44 2" xfId="31" xr:uid="{00000000-0005-0000-0000-000019000000}"/>
    <cellStyle name="一般 5" xfId="30" xr:uid="{00000000-0005-0000-0000-00001A000000}"/>
    <cellStyle name="一般 56" xfId="32" xr:uid="{00000000-0005-0000-0000-00001B000000}"/>
    <cellStyle name="一般 57" xfId="33" xr:uid="{00000000-0005-0000-0000-00001C000000}"/>
    <cellStyle name="一般 6" xfId="36" xr:uid="{00000000-0005-0000-0000-00001D000000}"/>
    <cellStyle name="一般 63" xfId="16" xr:uid="{00000000-0005-0000-0000-00001E000000}"/>
    <cellStyle name="一般 64" xfId="34" xr:uid="{00000000-0005-0000-0000-00001F000000}"/>
    <cellStyle name="一般 64 2" xfId="10" xr:uid="{00000000-0005-0000-0000-000020000000}"/>
    <cellStyle name="一般 7" xfId="38" xr:uid="{00000000-0005-0000-0000-000021000000}"/>
    <cellStyle name="一般 7 2" xfId="42" xr:uid="{00000000-0005-0000-0000-000022000000}"/>
    <cellStyle name="一般 7 7" xfId="13" xr:uid="{00000000-0005-0000-0000-000023000000}"/>
    <cellStyle name="一般 8" xfId="39" xr:uid="{00000000-0005-0000-0000-000024000000}"/>
    <cellStyle name="一般_8000bom" xfId="6" xr:uid="{00000000-0005-0000-0000-000025000000}"/>
    <cellStyle name="百分比 2" xfId="18" xr:uid="{00000000-0005-0000-0000-000026000000}"/>
    <cellStyle name="貨幣" xfId="5" builtinId="4"/>
    <cellStyle name="貨幣 2" xfId="19" xr:uid="{00000000-0005-0000-0000-000028000000}"/>
    <cellStyle name="貨幣 3" xfId="20" xr:uid="{00000000-0005-0000-0000-000029000000}"/>
    <cellStyle name="超連結 2 3" xfId="17" xr:uid="{00000000-0005-0000-0000-00002A000000}"/>
    <cellStyle name="樣式 1" xfId="7" xr:uid="{00000000-0005-0000-0000-00002B000000}"/>
  </cellStyles>
  <dxfs count="0"/>
  <tableStyles count="0" defaultTableStyle="TableStyleMedium2" defaultPivotStyle="PivotStyleLight16"/>
  <colors>
    <mruColors>
      <color rgb="FFCCFFCC"/>
      <color rgb="FFFF00FF"/>
      <color rgb="FFFFFFCC"/>
      <color rgb="FF0000FF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2</xdr:col>
      <xdr:colOff>852997</xdr:colOff>
      <xdr:row>67</xdr:row>
      <xdr:rowOff>46852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7</xdr:col>
      <xdr:colOff>257175</xdr:colOff>
      <xdr:row>35</xdr:row>
      <xdr:rowOff>200025</xdr:rowOff>
    </xdr:from>
    <xdr:to>
      <xdr:col>13</xdr:col>
      <xdr:colOff>113774</xdr:colOff>
      <xdr:row>65</xdr:row>
      <xdr:rowOff>151620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35</xdr:row>
      <xdr:rowOff>152400</xdr:rowOff>
    </xdr:from>
    <xdr:to>
      <xdr:col>16</xdr:col>
      <xdr:colOff>256979</xdr:colOff>
      <xdr:row>55</xdr:row>
      <xdr:rowOff>18543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  <sheetName val="Lists Data"/>
      <sheetName val="清單內容"/>
      <sheetName val="工作表2"/>
      <sheetName val="Dropdown"/>
      <sheetName val="Pulldown Categories"/>
      <sheetName val="PartsList"/>
      <sheetName val="check List"/>
      <sheetName val="summary_4.5%MOH"/>
      <sheetName val="POR"/>
      <sheetName val="wsp 12-03"/>
      <sheetName val="Pallet"/>
      <sheetName val="ﾀｰｹﾞｯﾄコスト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Macros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Product Data Entry"/>
      <sheetName val="Setup"/>
      <sheetName val="Title Page"/>
      <sheetName val="Requesters"/>
      <sheetName val="090701"/>
      <sheetName val="Variables1"/>
      <sheetName val="Forwarder_Plan"/>
      <sheetName val="Assembly"/>
      <sheetName val="Composites"/>
      <sheetName val="Metals"/>
      <sheetName val="intel target"/>
      <sheetName val="Neo"/>
      <sheetName val="ME"/>
      <sheetName val="FRU demand"/>
      <sheetName val="Compal open order "/>
      <sheetName val="R CTO demand"/>
      <sheetName val="Compal stock 4.6"/>
      <sheetName val="INCO"/>
      <sheetName val="zsdr82 Tab."/>
      <sheetName val="DOC_REQUIREMENT"/>
      <sheetName val="PRVF"/>
      <sheetName val="Chk_sheet"/>
      <sheetName val="MetricsData"/>
      <sheetName val="systems"/>
      <sheetName val="foundry 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LAPL_Act_Trend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Revision History Definition"/>
      <sheetName val="G.1R-Shou COP Gf"/>
      <sheetName val="Month 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  <sheetName val="QuoteFormat"/>
      <sheetName val="Calculation"/>
      <sheetName val="Category"/>
      <sheetName val="週報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LSS"/>
      <sheetName val="BLUFORD_R12"/>
      <sheetName val="Bluford3 MB BOM-Intel LAN"/>
      <sheetName val="ref"/>
      <sheetName val="SZ1210_0843_008720_27"/>
      <sheetName val="LOT_ACCP"/>
      <sheetName val="PRVF"/>
      <sheetName val="ESSM_Syst"/>
      <sheetName val="summary,_MTH"/>
      <sheetName val="WIP_STATION_REPAIR_Q"/>
      <sheetName val="intel target"/>
      <sheetName val="MS Type"/>
      <sheetName val="Part Type"/>
      <sheetName val="Purchase Type"/>
      <sheetName val="Q3'04"/>
      <sheetName val="EC Charge"/>
      <sheetName val="Others"/>
      <sheetName val="Cable"/>
      <sheetName val="Drop Down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/>
      <sheetData sheetId="726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All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FA-LISTING"/>
      <sheetName val="Receiving Inspection"/>
      <sheetName val="ISRDATA"/>
      <sheetName val="Nimitz Base Cover"/>
      <sheetName val="Data lists"/>
      <sheetName val="IP-1 INSP-CAV #2"/>
      <sheetName val="Valores"/>
      <sheetName val="Saturn MVB bom_Aug.18'08"/>
      <sheetName val="2003 Target"/>
      <sheetName val="2003 prod2"/>
      <sheetName val="差异分攤"/>
      <sheetName val="Root causes"/>
      <sheetName val="Call Down Data OLD"/>
      <sheetName val="I Input Template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#REF"/>
      <sheetName val="LAPL Act Trend"/>
      <sheetName val=" Quotation sheet"/>
      <sheetName val="SBB Table"/>
      <sheetName val="Summary Design-Proto"/>
      <sheetName val="Data Input "/>
      <sheetName val="iRUGO Event Validation"/>
      <sheetName val="Entry"/>
      <sheetName val="Shot"/>
      <sheetName val="Sheet2"/>
      <sheetName val="FB Tooling List 1210"/>
      <sheetName val="Sheet4"/>
      <sheetName val="DELL_Schedule"/>
      <sheetName val="Hourly Rate"/>
      <sheetName val="BF3 MB cost _0708 from MSL"/>
      <sheetName val="Keyb."/>
      <sheetName val="WW Comet"/>
      <sheetName val="MB Costed Bom PV"/>
      <sheetName val="Workings"/>
      <sheetName val="RickelsRFQPWA# 2"/>
      <sheetName val="生產計劃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Macaron Tooling"/>
      <sheetName val="PL-All"/>
      <sheetName val="주행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Master List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Quote Data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Pfam Lookup"/>
      <sheetName val="Debug check list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Mock Up"/>
      <sheetName val="連絡書１"/>
      <sheetName val="PMX WIF vs PP"/>
      <sheetName val="C۽_x005f_x005f_x005f_x0000_tents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A-Note Bug list"/>
      <sheetName val="PM01-F09"/>
      <sheetName val="BCT Lookup"/>
      <sheetName val="G.1R-Shou COP Gf"/>
      <sheetName val="Month Schedule"/>
      <sheetName val="Product Data Entry"/>
      <sheetName val="C۽_x005f_x005f_x005f_x005f_x005f_x005f_x005f_x005f_x005"/>
      <sheetName val="C۽_x005f_x005f_x005f_x005f_x005"/>
      <sheetName val="Terms"/>
      <sheetName val="costedBOM"/>
      <sheetName val="Buckhorn_0205'08"/>
      <sheetName val="Cobra_0311"/>
      <sheetName val="Gunnison"/>
      <sheetName val="PAYDAY_0311'08"/>
      <sheetName val="zasset"/>
      <sheetName val="5C Sum"/>
      <sheetName val="ID2"/>
      <sheetName val="選択肢メニュー"/>
      <sheetName val="同梱IU部品費CLJ3800"/>
      <sheetName val="MeBOM"/>
      <sheetName val="Report"/>
      <sheetName val="Mont Rates"/>
      <sheetName val="Macros"/>
      <sheetName val="check List"/>
      <sheetName val="summary_4.5%MOH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  <sheetName val="18FEB04"/>
      <sheetName val="LX8300_05 BOM"/>
      <sheetName val="0512MB"/>
      <sheetName val="Sheet1 (2)"/>
      <sheetName val="Demand&amp;Supply"/>
      <sheetName val="Pulldown Categories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MB costed BOM USDT"/>
      <sheetName val="C_K810VU"/>
      <sheetName val="PRVF"/>
      <sheetName val="MT"/>
      <sheetName val="TAMG"/>
      <sheetName val="Variables1"/>
      <sheetName val="Lookups"/>
      <sheetName val="MO &amp; PX DIE FA DATA SHEET FOR M"/>
      <sheetName val="MPM&amp;DEK"/>
      <sheetName val="Debug_check_list"/>
      <sheetName val="summary,_MTH"/>
      <sheetName val="Data_(c)"/>
      <sheetName val="sm_Pcost"/>
      <sheetName val="LAPL_Act_Trend"/>
      <sheetName val="Base Input"/>
      <sheetName val="summary_4_5%MOH"/>
      <sheetName val="CBOMQ1_2009__ed_15_01"/>
      <sheetName val="ESSM_Syst"/>
      <sheetName val="Sales_Forecast"/>
      <sheetName val="Market_Module"/>
      <sheetName val="Data_Validation"/>
      <sheetName val="Medion - Product mix"/>
      <sheetName val="BSF"/>
      <sheetName val="1.COVER"/>
      <sheetName val="1.APP data sheet"/>
      <sheetName val="MSR method"/>
      <sheetName val="P29"/>
      <sheetName val="P27"/>
      <sheetName val="Guide"/>
      <sheetName val="Menu Items"/>
      <sheetName val="MPU Other"/>
      <sheetName val="PartsList"/>
      <sheetName val="Forwarder_Plan"/>
      <sheetName val="Requesters"/>
      <sheetName val="intel target"/>
      <sheetName val="FRU demand"/>
      <sheetName val="Compal open order "/>
      <sheetName val="R CTO demand"/>
      <sheetName val="Compal stock 4.6"/>
      <sheetName val="910Nassau"/>
      <sheetName val="週報"/>
      <sheetName val="Title Page"/>
      <sheetName val="090701"/>
      <sheetName val="Assembly"/>
      <sheetName val="Composites"/>
      <sheetName val="Metals"/>
      <sheetName val="Neo"/>
      <sheetName val="INCO"/>
      <sheetName val="zsdr82 Tab."/>
      <sheetName val="DOC_REQUIREMENT"/>
      <sheetName val="Chk_sheet"/>
      <sheetName val="MetricsData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Revision History Definition"/>
      <sheetName val="Category"/>
      <sheetName val="Spec Source"/>
      <sheetName val="Trooper BOM quote"/>
      <sheetName val="Bluford3 MB BOM-Intel LAN"/>
      <sheetName val="raw_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 refreshError="1"/>
      <sheetData sheetId="122"/>
      <sheetData sheetId="123" refreshError="1"/>
      <sheetData sheetId="124" refreshError="1"/>
      <sheetData sheetId="125" refreshError="1"/>
      <sheetData sheetId="126" refreshError="1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 refreshError="1"/>
      <sheetData sheetId="139" refreshError="1"/>
      <sheetData sheetId="140" refreshError="1"/>
      <sheetData sheetId="141"/>
      <sheetData sheetId="142"/>
      <sheetData sheetId="143" refreshError="1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/>
      <sheetData sheetId="157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 refreshError="1"/>
      <sheetData sheetId="208"/>
      <sheetData sheetId="209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 refreshError="1"/>
      <sheetData sheetId="252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/>
      <sheetData sheetId="337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/>
      <sheetData sheetId="730"/>
      <sheetData sheetId="731"/>
      <sheetData sheetId="732"/>
      <sheetData sheetId="733"/>
      <sheetData sheetId="734"/>
      <sheetData sheetId="735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 refreshError="1"/>
      <sheetData sheetId="819"/>
      <sheetData sheetId="820" refreshError="1"/>
      <sheetData sheetId="821" refreshError="1"/>
      <sheetData sheetId="822" refreshError="1"/>
      <sheetData sheetId="82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0"/>
  <dimension ref="B2:O30"/>
  <sheetViews>
    <sheetView topLeftCell="B1" workbookViewId="0">
      <selection activeCell="B1" sqref="B1"/>
    </sheetView>
  </sheetViews>
  <sheetFormatPr defaultColWidth="8.8671875" defaultRowHeight="16.25"/>
  <cols>
    <col min="1" max="2" width="8.8671875" style="133"/>
    <col min="3" max="3" width="10.43359375" style="133" bestFit="1" customWidth="1"/>
    <col min="4" max="10" width="8.8671875" style="133"/>
    <col min="11" max="11" width="16.21484375" style="133" bestFit="1" customWidth="1"/>
    <col min="12" max="12" width="11.6484375" style="133" bestFit="1" customWidth="1"/>
    <col min="13" max="13" width="16.43359375" style="133" bestFit="1" customWidth="1"/>
    <col min="14" max="15" width="9.8671875" style="133" bestFit="1" customWidth="1"/>
    <col min="16" max="16384" width="8.8671875" style="133"/>
  </cols>
  <sheetData>
    <row r="2" spans="2:15" ht="17" thickBot="1">
      <c r="D2" s="297" t="s">
        <v>699</v>
      </c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</row>
    <row r="3" spans="2:15">
      <c r="B3" s="134"/>
      <c r="C3" s="135" t="s">
        <v>700</v>
      </c>
      <c r="D3" s="298" t="s">
        <v>100</v>
      </c>
      <c r="E3" s="299"/>
      <c r="F3" s="299"/>
      <c r="G3" s="299"/>
      <c r="H3" s="299"/>
      <c r="I3" s="299"/>
      <c r="J3" s="299"/>
      <c r="K3" s="300" t="s">
        <v>701</v>
      </c>
      <c r="L3" s="299"/>
      <c r="M3" s="299"/>
      <c r="N3" s="301" t="s">
        <v>702</v>
      </c>
      <c r="O3" s="302"/>
    </row>
    <row r="4" spans="2:15">
      <c r="B4" s="136" t="s">
        <v>703</v>
      </c>
      <c r="C4" s="137" t="s">
        <v>704</v>
      </c>
      <c r="D4" s="138" t="s">
        <v>99</v>
      </c>
      <c r="E4" s="139" t="s">
        <v>705</v>
      </c>
      <c r="F4" s="139" t="s">
        <v>706</v>
      </c>
      <c r="G4" s="139" t="s">
        <v>707</v>
      </c>
      <c r="H4" s="139" t="s">
        <v>708</v>
      </c>
      <c r="I4" s="139" t="s">
        <v>709</v>
      </c>
      <c r="J4" s="139" t="s">
        <v>710</v>
      </c>
      <c r="K4" s="140" t="s">
        <v>711</v>
      </c>
      <c r="L4" s="140" t="s">
        <v>712</v>
      </c>
      <c r="M4" s="140" t="s">
        <v>713</v>
      </c>
      <c r="N4" s="141" t="s">
        <v>714</v>
      </c>
      <c r="O4" s="142" t="s">
        <v>715</v>
      </c>
    </row>
    <row r="5" spans="2:15">
      <c r="B5" s="136" t="s">
        <v>716</v>
      </c>
      <c r="C5" s="131" t="s">
        <v>717</v>
      </c>
      <c r="D5" s="143"/>
      <c r="E5" s="143" t="s">
        <v>718</v>
      </c>
      <c r="F5" s="143" t="s">
        <v>718</v>
      </c>
      <c r="G5" s="143" t="s">
        <v>718</v>
      </c>
      <c r="H5" s="143" t="s">
        <v>718</v>
      </c>
      <c r="I5" s="143" t="s">
        <v>718</v>
      </c>
      <c r="J5" s="143" t="s">
        <v>718</v>
      </c>
      <c r="K5" s="143"/>
      <c r="L5" s="143"/>
      <c r="M5" s="143"/>
      <c r="N5" s="143" t="s">
        <v>718</v>
      </c>
      <c r="O5" s="144" t="s">
        <v>718</v>
      </c>
    </row>
    <row r="6" spans="2:15">
      <c r="B6" s="136" t="s">
        <v>719</v>
      </c>
      <c r="C6" s="131" t="s">
        <v>720</v>
      </c>
      <c r="D6" s="143" t="s">
        <v>721</v>
      </c>
      <c r="E6" s="143"/>
      <c r="F6" s="143"/>
      <c r="G6" s="143"/>
      <c r="H6" s="143"/>
      <c r="I6" s="143"/>
      <c r="J6" s="143"/>
      <c r="K6" s="143" t="s">
        <v>721</v>
      </c>
      <c r="L6" s="143" t="s">
        <v>721</v>
      </c>
      <c r="M6" s="143" t="s">
        <v>721</v>
      </c>
      <c r="N6" s="143"/>
      <c r="O6" s="144"/>
    </row>
    <row r="7" spans="2:15">
      <c r="B7" s="136" t="s">
        <v>719</v>
      </c>
      <c r="C7" s="131" t="s">
        <v>722</v>
      </c>
      <c r="D7" s="143" t="s">
        <v>721</v>
      </c>
      <c r="E7" s="143" t="s">
        <v>721</v>
      </c>
      <c r="F7" s="143"/>
      <c r="G7" s="143"/>
      <c r="H7" s="143"/>
      <c r="I7" s="143"/>
      <c r="J7" s="143"/>
      <c r="K7" s="143"/>
      <c r="L7" s="143"/>
      <c r="M7" s="143"/>
      <c r="N7" s="143"/>
      <c r="O7" s="144"/>
    </row>
    <row r="8" spans="2:15">
      <c r="B8" s="136" t="s">
        <v>719</v>
      </c>
      <c r="C8" s="131" t="s">
        <v>723</v>
      </c>
      <c r="D8" s="143" t="s">
        <v>724</v>
      </c>
      <c r="E8" s="143" t="s">
        <v>724</v>
      </c>
      <c r="F8" s="143"/>
      <c r="G8" s="143"/>
      <c r="H8" s="143"/>
      <c r="I8" s="143"/>
      <c r="J8" s="143"/>
      <c r="K8" s="143"/>
      <c r="L8" s="143"/>
      <c r="M8" s="143"/>
      <c r="N8" s="143"/>
      <c r="O8" s="144"/>
    </row>
    <row r="9" spans="2:15" ht="17" thickBot="1">
      <c r="B9" s="145" t="s">
        <v>725</v>
      </c>
      <c r="C9" s="132" t="s">
        <v>726</v>
      </c>
      <c r="D9" s="146"/>
      <c r="E9" s="147"/>
      <c r="F9" s="147"/>
      <c r="G9" s="147"/>
      <c r="H9" s="147"/>
      <c r="I9" s="147"/>
      <c r="J9" s="146" t="s">
        <v>724</v>
      </c>
      <c r="K9" s="146"/>
      <c r="L9" s="146"/>
      <c r="M9" s="146"/>
      <c r="N9" s="147"/>
      <c r="O9" s="148"/>
    </row>
    <row r="10" spans="2:15">
      <c r="B10" s="149"/>
      <c r="C10" s="150"/>
    </row>
    <row r="11" spans="2:15">
      <c r="B11" s="150"/>
      <c r="C11" s="150"/>
    </row>
    <row r="12" spans="2:15">
      <c r="B12" s="150"/>
      <c r="C12" s="150"/>
    </row>
    <row r="13" spans="2:15">
      <c r="B13" s="150"/>
      <c r="C13" s="150"/>
    </row>
    <row r="14" spans="2:15">
      <c r="B14" s="150"/>
      <c r="C14" s="150"/>
    </row>
    <row r="15" spans="2:15">
      <c r="B15" s="150"/>
      <c r="C15" s="150"/>
    </row>
    <row r="16" spans="2:15">
      <c r="B16" s="150"/>
      <c r="C16" s="150"/>
    </row>
    <row r="17" spans="2:3">
      <c r="B17" s="150"/>
      <c r="C17" s="150"/>
    </row>
    <row r="18" spans="2:3">
      <c r="B18" s="150"/>
      <c r="C18" s="150"/>
    </row>
    <row r="19" spans="2:3">
      <c r="B19" s="150"/>
      <c r="C19" s="150"/>
    </row>
    <row r="20" spans="2:3">
      <c r="B20" s="150"/>
      <c r="C20" s="150"/>
    </row>
    <row r="21" spans="2:3">
      <c r="C21" s="150"/>
    </row>
    <row r="22" spans="2:3">
      <c r="C22" s="150"/>
    </row>
    <row r="23" spans="2:3">
      <c r="C23" s="150"/>
    </row>
    <row r="24" spans="2:3">
      <c r="C24" s="150"/>
    </row>
    <row r="25" spans="2:3">
      <c r="C25" s="150"/>
    </row>
    <row r="26" spans="2:3">
      <c r="C26" s="150"/>
    </row>
    <row r="27" spans="2:3">
      <c r="C27" s="150"/>
    </row>
    <row r="28" spans="2:3">
      <c r="C28" s="150"/>
    </row>
    <row r="29" spans="2:3">
      <c r="C29" s="150"/>
    </row>
    <row r="30" spans="2:3">
      <c r="C30" s="150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BF162"/>
  <sheetViews>
    <sheetView showGridLines="0" zoomScale="80" zoomScaleNormal="80" workbookViewId="0">
      <pane xSplit="2" ySplit="1" topLeftCell="P2" activePane="bottomRight" state="frozen"/>
      <selection pane="topRight" activeCell="C1" sqref="C1"/>
      <selection pane="bottomLeft" activeCell="A2" sqref="A2"/>
      <selection pane="bottomRight" activeCell="Q2" sqref="Q2:S2"/>
    </sheetView>
  </sheetViews>
  <sheetFormatPr defaultColWidth="8.8671875" defaultRowHeight="16.25" outlineLevelRow="1"/>
  <cols>
    <col min="1" max="1" width="17.43359375" style="82" customWidth="1"/>
    <col min="2" max="2" width="10.21484375" style="82" hidden="1" customWidth="1"/>
    <col min="3" max="3" width="10.21484375" style="82" customWidth="1"/>
    <col min="4" max="7" width="10.21484375" style="82" hidden="1" customWidth="1"/>
    <col min="8" max="8" width="13.43359375" style="92" customWidth="1"/>
    <col min="9" max="9" width="44.6484375" style="128" hidden="1" customWidth="1"/>
    <col min="10" max="10" width="25.43359375" style="82" hidden="1" customWidth="1"/>
    <col min="11" max="11" width="44.78125" style="82" customWidth="1"/>
    <col min="12" max="12" width="34.34765625" style="82" customWidth="1"/>
    <col min="13" max="13" width="9.43359375" style="82" customWidth="1"/>
    <col min="14" max="14" width="21.0859375" style="82" customWidth="1"/>
    <col min="15" max="15" width="21.78125" style="84" customWidth="1"/>
    <col min="16" max="16" width="26.6484375" style="84" customWidth="1"/>
    <col min="17" max="17" width="21.21484375" style="84" bestFit="1" customWidth="1"/>
    <col min="18" max="18" width="36.6484375" style="82" bestFit="1" customWidth="1"/>
    <col min="19" max="19" width="37" style="82" bestFit="1" customWidth="1"/>
    <col min="20" max="20" width="29.8671875" style="84" bestFit="1" customWidth="1"/>
    <col min="21" max="22" width="11.6484375" style="82" bestFit="1" customWidth="1"/>
    <col min="23" max="23" width="8.8671875" style="82" customWidth="1"/>
    <col min="24" max="24" width="9.0859375" style="82" customWidth="1"/>
    <col min="25" max="25" width="8.8671875" style="82" customWidth="1"/>
    <col min="26" max="26" width="16.6484375" style="82" customWidth="1"/>
    <col min="27" max="27" width="17.8671875" style="82" customWidth="1"/>
    <col min="28" max="28" width="20.78125" style="82" bestFit="1" customWidth="1"/>
    <col min="29" max="29" width="15" style="92" customWidth="1"/>
    <col min="30" max="30" width="35" style="82" hidden="1" customWidth="1"/>
    <col min="31" max="31" width="38.21484375" style="82" hidden="1" customWidth="1"/>
    <col min="32" max="32" width="17.43359375" style="82" hidden="1" customWidth="1"/>
    <col min="33" max="33" width="11.34765625" style="82" hidden="1" customWidth="1"/>
    <col min="34" max="34" width="41.43359375" style="82" hidden="1" customWidth="1"/>
    <col min="35" max="35" width="18.34765625" style="82" hidden="1" customWidth="1"/>
    <col min="36" max="36" width="10.78125" style="82" hidden="1" customWidth="1"/>
    <col min="37" max="37" width="35.6484375" style="82" hidden="1" customWidth="1"/>
    <col min="38" max="38" width="19.43359375" style="82" hidden="1" customWidth="1"/>
    <col min="39" max="39" width="10.78125" style="82" hidden="1" customWidth="1"/>
    <col min="40" max="40" width="35.0859375" style="82" hidden="1" customWidth="1"/>
    <col min="41" max="41" width="17.21484375" style="82" hidden="1" customWidth="1"/>
    <col min="42" max="42" width="9.78125" style="82" hidden="1" customWidth="1"/>
    <col min="43" max="43" width="33.0859375" style="82" hidden="1" customWidth="1"/>
    <col min="44" max="44" width="18.34765625" style="82" hidden="1" customWidth="1"/>
    <col min="45" max="45" width="13" style="82" hidden="1" customWidth="1"/>
    <col min="46" max="46" width="31.43359375" style="82" hidden="1" customWidth="1"/>
    <col min="47" max="47" width="18" style="82" hidden="1" customWidth="1"/>
    <col min="48" max="48" width="10.43359375" style="82" hidden="1" customWidth="1"/>
    <col min="49" max="49" width="36.34765625" style="82" hidden="1" customWidth="1"/>
    <col min="50" max="50" width="20" style="82" hidden="1" customWidth="1"/>
    <col min="51" max="51" width="12.78125" style="82" hidden="1" customWidth="1"/>
    <col min="52" max="52" width="32.21484375" style="84" hidden="1" customWidth="1"/>
    <col min="53" max="53" width="14.21484375" style="84" bestFit="1" customWidth="1"/>
    <col min="54" max="54" width="18.43359375" style="82" customWidth="1"/>
    <col min="55" max="55" width="10.43359375" style="82" bestFit="1" customWidth="1"/>
    <col min="56" max="16384" width="8.8671875" style="82"/>
  </cols>
  <sheetData>
    <row r="1" spans="1:58" s="126" customFormat="1" ht="30" customHeight="1">
      <c r="A1" s="117" t="s">
        <v>808</v>
      </c>
      <c r="B1" s="117" t="s">
        <v>830</v>
      </c>
      <c r="C1" s="117" t="s">
        <v>831</v>
      </c>
      <c r="D1" s="117" t="s">
        <v>832</v>
      </c>
      <c r="E1" s="117" t="s">
        <v>833</v>
      </c>
      <c r="F1" s="117" t="s">
        <v>834</v>
      </c>
      <c r="G1" s="117" t="s">
        <v>835</v>
      </c>
      <c r="H1" s="117" t="s">
        <v>783</v>
      </c>
      <c r="I1" s="117" t="s">
        <v>809</v>
      </c>
      <c r="J1" s="118" t="s">
        <v>837</v>
      </c>
      <c r="K1" s="118" t="s">
        <v>838</v>
      </c>
      <c r="L1" s="119" t="s">
        <v>810</v>
      </c>
      <c r="M1" s="118" t="s">
        <v>727</v>
      </c>
      <c r="N1" s="119" t="s">
        <v>786</v>
      </c>
      <c r="O1" s="119" t="s">
        <v>787</v>
      </c>
      <c r="P1" s="119" t="s">
        <v>788</v>
      </c>
      <c r="Q1" s="119" t="s">
        <v>789</v>
      </c>
      <c r="R1" s="185" t="s">
        <v>1326</v>
      </c>
      <c r="S1" s="185" t="s">
        <v>1060</v>
      </c>
      <c r="T1" s="185" t="s">
        <v>1061</v>
      </c>
      <c r="U1" s="120" t="s">
        <v>811</v>
      </c>
      <c r="V1" s="120" t="s">
        <v>812</v>
      </c>
      <c r="W1" s="120" t="s">
        <v>813</v>
      </c>
      <c r="X1" s="120" t="s">
        <v>814</v>
      </c>
      <c r="Y1" s="120" t="s">
        <v>777</v>
      </c>
      <c r="Z1" s="120" t="s">
        <v>784</v>
      </c>
      <c r="AA1" s="120" t="s">
        <v>785</v>
      </c>
      <c r="AB1" s="121" t="s">
        <v>776</v>
      </c>
      <c r="AC1" s="120" t="s">
        <v>775</v>
      </c>
      <c r="AD1" s="122" t="s">
        <v>829</v>
      </c>
      <c r="AE1" s="122" t="s">
        <v>790</v>
      </c>
      <c r="AF1" s="122" t="s">
        <v>767</v>
      </c>
      <c r="AG1" s="123" t="s">
        <v>768</v>
      </c>
      <c r="AH1" s="122" t="s">
        <v>791</v>
      </c>
      <c r="AI1" s="122" t="s">
        <v>761</v>
      </c>
      <c r="AJ1" s="123" t="s">
        <v>762</v>
      </c>
      <c r="AK1" s="122" t="s">
        <v>792</v>
      </c>
      <c r="AL1" s="122" t="s">
        <v>763</v>
      </c>
      <c r="AM1" s="123" t="s">
        <v>764</v>
      </c>
      <c r="AN1" s="122" t="s">
        <v>793</v>
      </c>
      <c r="AO1" s="122" t="s">
        <v>765</v>
      </c>
      <c r="AP1" s="123" t="s">
        <v>766</v>
      </c>
      <c r="AQ1" s="122" t="s">
        <v>794</v>
      </c>
      <c r="AR1" s="122" t="s">
        <v>767</v>
      </c>
      <c r="AS1" s="123" t="s">
        <v>768</v>
      </c>
      <c r="AT1" s="122" t="s">
        <v>795</v>
      </c>
      <c r="AU1" s="122" t="s">
        <v>769</v>
      </c>
      <c r="AV1" s="123" t="s">
        <v>762</v>
      </c>
      <c r="AW1" s="122" t="s">
        <v>796</v>
      </c>
      <c r="AX1" s="122" t="s">
        <v>770</v>
      </c>
      <c r="AY1" s="123" t="s">
        <v>764</v>
      </c>
      <c r="AZ1" s="118" t="s">
        <v>742</v>
      </c>
      <c r="BA1" s="118" t="s">
        <v>184</v>
      </c>
      <c r="BB1" s="84"/>
      <c r="BC1" s="124"/>
      <c r="BD1" s="125"/>
      <c r="BF1" s="127"/>
    </row>
    <row r="2" spans="1:58" s="112" customFormat="1" ht="16.5" customHeight="1" outlineLevel="1">
      <c r="A2" s="81"/>
      <c r="B2" s="81"/>
      <c r="C2" s="81"/>
      <c r="D2" s="81"/>
      <c r="E2" s="81"/>
      <c r="F2" s="81"/>
      <c r="G2" s="81"/>
      <c r="H2" s="81"/>
      <c r="I2" s="77"/>
      <c r="J2" s="114"/>
      <c r="K2" s="115"/>
      <c r="L2" s="81"/>
      <c r="M2" s="81"/>
      <c r="N2" s="113"/>
      <c r="O2" s="81"/>
      <c r="P2" s="81"/>
      <c r="Q2" s="81"/>
      <c r="R2" s="78"/>
      <c r="S2" s="78"/>
      <c r="T2" s="81"/>
      <c r="U2" s="78"/>
      <c r="V2" s="78"/>
      <c r="W2" s="78"/>
      <c r="X2" s="78"/>
      <c r="Y2" s="78"/>
      <c r="Z2" s="78"/>
      <c r="AA2" s="78"/>
      <c r="AB2" s="116"/>
      <c r="AC2" s="114"/>
      <c r="AD2" s="76"/>
      <c r="AE2" s="77"/>
      <c r="AF2" s="76"/>
      <c r="AG2" s="76"/>
      <c r="AH2" s="77"/>
      <c r="AI2" s="76"/>
      <c r="AJ2" s="76"/>
      <c r="AK2" s="77"/>
      <c r="AL2" s="76"/>
      <c r="AM2" s="76"/>
      <c r="AN2" s="77"/>
      <c r="AO2" s="76"/>
      <c r="AP2" s="76"/>
      <c r="AQ2" s="77"/>
      <c r="AR2" s="80"/>
      <c r="AS2" s="76"/>
      <c r="AT2" s="77"/>
      <c r="AU2" s="76"/>
      <c r="AV2" s="76"/>
      <c r="AW2" s="77"/>
      <c r="AX2" s="76"/>
      <c r="AY2" s="76"/>
      <c r="AZ2" s="79"/>
      <c r="BA2" s="79"/>
    </row>
    <row r="3" spans="1:58" s="112" customFormat="1" outlineLevel="1">
      <c r="A3" s="81"/>
      <c r="B3" s="81"/>
      <c r="C3" s="81"/>
      <c r="D3" s="81"/>
      <c r="E3" s="81"/>
      <c r="F3" s="81"/>
      <c r="G3" s="81"/>
      <c r="H3" s="81"/>
      <c r="I3" s="77"/>
      <c r="J3" s="114"/>
      <c r="K3" s="115"/>
      <c r="L3" s="81"/>
      <c r="M3" s="81"/>
      <c r="N3" s="113"/>
      <c r="O3" s="81"/>
      <c r="P3" s="81"/>
      <c r="Q3" s="81"/>
      <c r="R3" s="78"/>
      <c r="S3" s="78"/>
      <c r="T3" s="81"/>
      <c r="U3" s="78"/>
      <c r="V3" s="78"/>
      <c r="W3" s="78"/>
      <c r="X3" s="78"/>
      <c r="Y3" s="78"/>
      <c r="Z3" s="78"/>
      <c r="AA3" s="78"/>
      <c r="AB3" s="116"/>
      <c r="AC3" s="114"/>
      <c r="AD3" s="76"/>
      <c r="AE3" s="77"/>
      <c r="AF3" s="76"/>
      <c r="AG3" s="76"/>
      <c r="AH3" s="77"/>
      <c r="AI3" s="76"/>
      <c r="AJ3" s="76"/>
      <c r="AK3" s="77"/>
      <c r="AL3" s="76"/>
      <c r="AM3" s="76"/>
      <c r="AN3" s="77"/>
      <c r="AO3" s="76"/>
      <c r="AP3" s="76"/>
      <c r="AQ3" s="77"/>
      <c r="AR3" s="80"/>
      <c r="AS3" s="76"/>
      <c r="AT3" s="77"/>
      <c r="AU3" s="76"/>
      <c r="AV3" s="76"/>
      <c r="AW3" s="77"/>
      <c r="AX3" s="76"/>
      <c r="AY3" s="76"/>
      <c r="AZ3" s="79"/>
      <c r="BA3" s="79"/>
    </row>
    <row r="4" spans="1:58" s="112" customFormat="1" outlineLevel="1">
      <c r="A4" s="81"/>
      <c r="B4" s="81"/>
      <c r="C4" s="81"/>
      <c r="D4" s="81"/>
      <c r="E4" s="81"/>
      <c r="F4" s="81"/>
      <c r="G4" s="81"/>
      <c r="H4" s="81"/>
      <c r="I4" s="77"/>
      <c r="J4" s="114"/>
      <c r="K4" s="115"/>
      <c r="L4" s="81"/>
      <c r="M4" s="81"/>
      <c r="N4" s="113"/>
      <c r="O4" s="81"/>
      <c r="P4" s="81"/>
      <c r="Q4" s="81"/>
      <c r="R4" s="78"/>
      <c r="S4" s="78"/>
      <c r="T4" s="81"/>
      <c r="U4" s="78"/>
      <c r="V4" s="78"/>
      <c r="W4" s="78"/>
      <c r="X4" s="78"/>
      <c r="Y4" s="78"/>
      <c r="Z4" s="78"/>
      <c r="AA4" s="78"/>
      <c r="AB4" s="116"/>
      <c r="AC4" s="114"/>
      <c r="AD4" s="76"/>
      <c r="AE4" s="77"/>
      <c r="AF4" s="76"/>
      <c r="AG4" s="76"/>
      <c r="AH4" s="77"/>
      <c r="AI4" s="76"/>
      <c r="AJ4" s="76"/>
      <c r="AK4" s="77"/>
      <c r="AL4" s="76"/>
      <c r="AM4" s="76"/>
      <c r="AN4" s="77"/>
      <c r="AO4" s="76"/>
      <c r="AP4" s="76"/>
      <c r="AQ4" s="77"/>
      <c r="AR4" s="80"/>
      <c r="AS4" s="76"/>
      <c r="AT4" s="77"/>
      <c r="AU4" s="76"/>
      <c r="AV4" s="76"/>
      <c r="AW4" s="77"/>
      <c r="AX4" s="76"/>
      <c r="AY4" s="76"/>
      <c r="AZ4" s="79"/>
      <c r="BA4" s="79"/>
    </row>
    <row r="5" spans="1:58" s="112" customFormat="1" outlineLevel="1">
      <c r="A5" s="81"/>
      <c r="B5" s="81"/>
      <c r="C5" s="81"/>
      <c r="D5" s="81"/>
      <c r="E5" s="81"/>
      <c r="F5" s="81"/>
      <c r="G5" s="81"/>
      <c r="H5" s="81"/>
      <c r="I5" s="77"/>
      <c r="J5" s="114"/>
      <c r="K5" s="115"/>
      <c r="L5" s="81"/>
      <c r="M5" s="81"/>
      <c r="N5" s="113"/>
      <c r="O5" s="81"/>
      <c r="P5" s="81"/>
      <c r="Q5" s="81"/>
      <c r="R5" s="78"/>
      <c r="S5" s="78"/>
      <c r="T5" s="81"/>
      <c r="U5" s="78"/>
      <c r="V5" s="78"/>
      <c r="W5" s="78"/>
      <c r="X5" s="78"/>
      <c r="Y5" s="78"/>
      <c r="Z5" s="78"/>
      <c r="AA5" s="78"/>
      <c r="AB5" s="116"/>
      <c r="AC5" s="114"/>
      <c r="AD5" s="76"/>
      <c r="AE5" s="77"/>
      <c r="AF5" s="76"/>
      <c r="AG5" s="76"/>
      <c r="AH5" s="77"/>
      <c r="AI5" s="76"/>
      <c r="AJ5" s="76"/>
      <c r="AK5" s="77"/>
      <c r="AL5" s="76"/>
      <c r="AM5" s="76"/>
      <c r="AN5" s="77"/>
      <c r="AO5" s="76"/>
      <c r="AP5" s="76"/>
      <c r="AQ5" s="77"/>
      <c r="AR5" s="80"/>
      <c r="AS5" s="76"/>
      <c r="AT5" s="77"/>
      <c r="AU5" s="76"/>
      <c r="AV5" s="76"/>
      <c r="AW5" s="77"/>
      <c r="AX5" s="76"/>
      <c r="AY5" s="76"/>
      <c r="AZ5" s="79"/>
      <c r="BA5" s="79"/>
    </row>
    <row r="6" spans="1:58" s="112" customFormat="1" outlineLevel="1">
      <c r="A6" s="81"/>
      <c r="B6" s="81"/>
      <c r="C6" s="81"/>
      <c r="D6" s="81"/>
      <c r="E6" s="81"/>
      <c r="F6" s="81"/>
      <c r="G6" s="81"/>
      <c r="H6" s="81"/>
      <c r="I6" s="77"/>
      <c r="J6" s="114"/>
      <c r="K6" s="115"/>
      <c r="L6" s="81"/>
      <c r="M6" s="81"/>
      <c r="N6" s="113"/>
      <c r="O6" s="81"/>
      <c r="P6" s="81"/>
      <c r="Q6" s="81"/>
      <c r="R6" s="78"/>
      <c r="S6" s="78"/>
      <c r="T6" s="81"/>
      <c r="U6" s="78"/>
      <c r="V6" s="78"/>
      <c r="W6" s="78"/>
      <c r="X6" s="78"/>
      <c r="Y6" s="78"/>
      <c r="Z6" s="78"/>
      <c r="AA6" s="78"/>
      <c r="AB6" s="116"/>
      <c r="AC6" s="114"/>
      <c r="AD6" s="76"/>
      <c r="AE6" s="77"/>
      <c r="AF6" s="76"/>
      <c r="AG6" s="76"/>
      <c r="AH6" s="77"/>
      <c r="AI6" s="76"/>
      <c r="AJ6" s="76"/>
      <c r="AK6" s="77"/>
      <c r="AL6" s="76"/>
      <c r="AM6" s="76"/>
      <c r="AN6" s="77"/>
      <c r="AO6" s="76"/>
      <c r="AP6" s="76"/>
      <c r="AQ6" s="77"/>
      <c r="AR6" s="80"/>
      <c r="AS6" s="76"/>
      <c r="AT6" s="77"/>
      <c r="AU6" s="76"/>
      <c r="AV6" s="76"/>
      <c r="AW6" s="77"/>
      <c r="AX6" s="76"/>
      <c r="AY6" s="76"/>
      <c r="AZ6" s="79"/>
      <c r="BA6" s="79"/>
    </row>
    <row r="7" spans="1:58" s="112" customFormat="1" outlineLevel="1">
      <c r="A7" s="81"/>
      <c r="B7" s="81"/>
      <c r="C7" s="81"/>
      <c r="D7" s="81"/>
      <c r="E7" s="81"/>
      <c r="F7" s="81"/>
      <c r="G7" s="81"/>
      <c r="H7" s="81"/>
      <c r="I7" s="77"/>
      <c r="J7" s="114"/>
      <c r="K7" s="115"/>
      <c r="L7" s="81"/>
      <c r="M7" s="81"/>
      <c r="N7" s="113"/>
      <c r="O7" s="81"/>
      <c r="P7" s="81"/>
      <c r="Q7" s="81"/>
      <c r="R7" s="78"/>
      <c r="S7" s="78"/>
      <c r="T7" s="81"/>
      <c r="U7" s="78"/>
      <c r="V7" s="78"/>
      <c r="W7" s="78"/>
      <c r="X7" s="78"/>
      <c r="Y7" s="78"/>
      <c r="Z7" s="78"/>
      <c r="AA7" s="78"/>
      <c r="AB7" s="116"/>
      <c r="AC7" s="114"/>
      <c r="AD7" s="76"/>
      <c r="AE7" s="77"/>
      <c r="AF7" s="76"/>
      <c r="AG7" s="76"/>
      <c r="AH7" s="77"/>
      <c r="AI7" s="76"/>
      <c r="AJ7" s="76"/>
      <c r="AK7" s="77"/>
      <c r="AL7" s="76"/>
      <c r="AM7" s="76"/>
      <c r="AN7" s="77"/>
      <c r="AO7" s="76"/>
      <c r="AP7" s="76"/>
      <c r="AQ7" s="77"/>
      <c r="AR7" s="80"/>
      <c r="AS7" s="76"/>
      <c r="AT7" s="77"/>
      <c r="AU7" s="76"/>
      <c r="AV7" s="76"/>
      <c r="AW7" s="77"/>
      <c r="AX7" s="76"/>
      <c r="AY7" s="76"/>
      <c r="AZ7" s="79"/>
      <c r="BA7" s="79"/>
    </row>
    <row r="8" spans="1:58" s="112" customFormat="1" outlineLevel="1">
      <c r="A8" s="81"/>
      <c r="B8" s="81"/>
      <c r="C8" s="81"/>
      <c r="D8" s="81"/>
      <c r="E8" s="81"/>
      <c r="F8" s="81"/>
      <c r="G8" s="81"/>
      <c r="H8" s="81"/>
      <c r="I8" s="77"/>
      <c r="J8" s="114"/>
      <c r="K8" s="115"/>
      <c r="L8" s="81"/>
      <c r="M8" s="81"/>
      <c r="N8" s="113"/>
      <c r="O8" s="81"/>
      <c r="P8" s="81"/>
      <c r="Q8" s="81"/>
      <c r="R8" s="78"/>
      <c r="S8" s="78"/>
      <c r="T8" s="81"/>
      <c r="U8" s="78"/>
      <c r="V8" s="78"/>
      <c r="W8" s="78"/>
      <c r="X8" s="78"/>
      <c r="Y8" s="78"/>
      <c r="Z8" s="78"/>
      <c r="AA8" s="78"/>
      <c r="AB8" s="116"/>
      <c r="AC8" s="114"/>
      <c r="AD8" s="76"/>
      <c r="AE8" s="77"/>
      <c r="AF8" s="76"/>
      <c r="AG8" s="76"/>
      <c r="AH8" s="77"/>
      <c r="AI8" s="76"/>
      <c r="AJ8" s="76"/>
      <c r="AK8" s="77"/>
      <c r="AL8" s="76"/>
      <c r="AM8" s="76"/>
      <c r="AN8" s="77"/>
      <c r="AO8" s="76"/>
      <c r="AP8" s="76"/>
      <c r="AQ8" s="77"/>
      <c r="AR8" s="80"/>
      <c r="AS8" s="76"/>
      <c r="AT8" s="77"/>
      <c r="AU8" s="76"/>
      <c r="AV8" s="76"/>
      <c r="AW8" s="77"/>
      <c r="AX8" s="76"/>
      <c r="AY8" s="76"/>
      <c r="AZ8" s="79"/>
      <c r="BA8" s="79"/>
    </row>
    <row r="9" spans="1:58" s="112" customFormat="1" outlineLevel="1">
      <c r="A9" s="81"/>
      <c r="B9" s="81"/>
      <c r="C9" s="81"/>
      <c r="D9" s="81"/>
      <c r="E9" s="81"/>
      <c r="F9" s="81"/>
      <c r="G9" s="81"/>
      <c r="H9" s="81"/>
      <c r="I9" s="77"/>
      <c r="J9" s="114"/>
      <c r="K9" s="115"/>
      <c r="L9" s="81"/>
      <c r="M9" s="81"/>
      <c r="N9" s="113"/>
      <c r="O9" s="81"/>
      <c r="P9" s="81"/>
      <c r="Q9" s="81"/>
      <c r="R9" s="78"/>
      <c r="S9" s="78"/>
      <c r="T9" s="81"/>
      <c r="U9" s="78"/>
      <c r="V9" s="78"/>
      <c r="W9" s="78"/>
      <c r="X9" s="78"/>
      <c r="Y9" s="78"/>
      <c r="Z9" s="78"/>
      <c r="AA9" s="78"/>
      <c r="AB9" s="116"/>
      <c r="AC9" s="114"/>
      <c r="AD9" s="76"/>
      <c r="AE9" s="77"/>
      <c r="AF9" s="76"/>
      <c r="AG9" s="76"/>
      <c r="AH9" s="77"/>
      <c r="AI9" s="76"/>
      <c r="AJ9" s="76"/>
      <c r="AK9" s="77"/>
      <c r="AL9" s="76"/>
      <c r="AM9" s="76"/>
      <c r="AN9" s="77"/>
      <c r="AO9" s="76"/>
      <c r="AP9" s="76"/>
      <c r="AQ9" s="77"/>
      <c r="AR9" s="80"/>
      <c r="AS9" s="76"/>
      <c r="AT9" s="77"/>
      <c r="AU9" s="76"/>
      <c r="AV9" s="76"/>
      <c r="AW9" s="77"/>
      <c r="AX9" s="76"/>
      <c r="AY9" s="76"/>
      <c r="AZ9" s="79"/>
      <c r="BA9" s="79"/>
    </row>
    <row r="10" spans="1:58" s="112" customFormat="1" outlineLevel="1">
      <c r="A10" s="81"/>
      <c r="B10" s="81"/>
      <c r="C10" s="81"/>
      <c r="D10" s="81"/>
      <c r="E10" s="81"/>
      <c r="F10" s="81"/>
      <c r="G10" s="81"/>
      <c r="H10" s="81"/>
      <c r="I10" s="77"/>
      <c r="J10" s="114"/>
      <c r="K10" s="115"/>
      <c r="L10" s="81"/>
      <c r="M10" s="81"/>
      <c r="N10" s="113"/>
      <c r="O10" s="81"/>
      <c r="P10" s="81"/>
      <c r="Q10" s="81"/>
      <c r="R10" s="78"/>
      <c r="S10" s="78"/>
      <c r="T10" s="81"/>
      <c r="U10" s="78"/>
      <c r="V10" s="78"/>
      <c r="W10" s="78"/>
      <c r="X10" s="78"/>
      <c r="Y10" s="78"/>
      <c r="Z10" s="78"/>
      <c r="AA10" s="78"/>
      <c r="AB10" s="116"/>
      <c r="AC10" s="114"/>
      <c r="AD10" s="76"/>
      <c r="AE10" s="77"/>
      <c r="AF10" s="76"/>
      <c r="AG10" s="76"/>
      <c r="AH10" s="77"/>
      <c r="AI10" s="76"/>
      <c r="AJ10" s="76"/>
      <c r="AK10" s="77"/>
      <c r="AL10" s="76"/>
      <c r="AM10" s="76"/>
      <c r="AN10" s="77"/>
      <c r="AO10" s="76"/>
      <c r="AP10" s="76"/>
      <c r="AQ10" s="77"/>
      <c r="AR10" s="80"/>
      <c r="AS10" s="76"/>
      <c r="AT10" s="77"/>
      <c r="AU10" s="76"/>
      <c r="AV10" s="76"/>
      <c r="AW10" s="77"/>
      <c r="AX10" s="76"/>
      <c r="AY10" s="76"/>
      <c r="AZ10" s="79"/>
      <c r="BA10" s="79"/>
    </row>
    <row r="11" spans="1:58" s="112" customFormat="1" outlineLevel="1">
      <c r="A11" s="81"/>
      <c r="B11" s="81"/>
      <c r="C11" s="81"/>
      <c r="D11" s="81"/>
      <c r="E11" s="81"/>
      <c r="F11" s="81"/>
      <c r="G11" s="81"/>
      <c r="H11" s="81"/>
      <c r="I11" s="77"/>
      <c r="J11" s="114"/>
      <c r="K11" s="115"/>
      <c r="L11" s="81"/>
      <c r="M11" s="81"/>
      <c r="N11" s="113"/>
      <c r="O11" s="81"/>
      <c r="P11" s="81"/>
      <c r="Q11" s="81"/>
      <c r="R11" s="78"/>
      <c r="S11" s="78"/>
      <c r="T11" s="81"/>
      <c r="U11" s="78"/>
      <c r="V11" s="78"/>
      <c r="W11" s="78"/>
      <c r="X11" s="78"/>
      <c r="Y11" s="78"/>
      <c r="Z11" s="78"/>
      <c r="AA11" s="78"/>
      <c r="AB11" s="116"/>
      <c r="AC11" s="114"/>
      <c r="AD11" s="76"/>
      <c r="AE11" s="77"/>
      <c r="AF11" s="76"/>
      <c r="AG11" s="76"/>
      <c r="AH11" s="77"/>
      <c r="AI11" s="76"/>
      <c r="AJ11" s="76"/>
      <c r="AK11" s="77"/>
      <c r="AL11" s="76"/>
      <c r="AM11" s="76"/>
      <c r="AN11" s="77"/>
      <c r="AO11" s="76"/>
      <c r="AP11" s="76"/>
      <c r="AQ11" s="77"/>
      <c r="AR11" s="80"/>
      <c r="AS11" s="76"/>
      <c r="AT11" s="77"/>
      <c r="AU11" s="76"/>
      <c r="AV11" s="76"/>
      <c r="AW11" s="77"/>
      <c r="AX11" s="76"/>
      <c r="AY11" s="76"/>
      <c r="AZ11" s="79"/>
      <c r="BA11" s="79"/>
    </row>
    <row r="12" spans="1:58" s="112" customFormat="1" outlineLevel="1">
      <c r="A12" s="81"/>
      <c r="B12" s="81"/>
      <c r="C12" s="81"/>
      <c r="D12" s="81"/>
      <c r="E12" s="81"/>
      <c r="F12" s="81"/>
      <c r="G12" s="81"/>
      <c r="H12" s="81"/>
      <c r="I12" s="77"/>
      <c r="J12" s="114"/>
      <c r="K12" s="115"/>
      <c r="L12" s="81"/>
      <c r="M12" s="81"/>
      <c r="N12" s="113"/>
      <c r="O12" s="81"/>
      <c r="P12" s="81"/>
      <c r="Q12" s="81"/>
      <c r="R12" s="78"/>
      <c r="S12" s="78"/>
      <c r="T12" s="81"/>
      <c r="U12" s="78"/>
      <c r="V12" s="78"/>
      <c r="W12" s="78"/>
      <c r="X12" s="78"/>
      <c r="Y12" s="78"/>
      <c r="Z12" s="78"/>
      <c r="AA12" s="78"/>
      <c r="AB12" s="116"/>
      <c r="AC12" s="114"/>
      <c r="AD12" s="76"/>
      <c r="AE12" s="77"/>
      <c r="AF12" s="76"/>
      <c r="AG12" s="76"/>
      <c r="AH12" s="77"/>
      <c r="AI12" s="76"/>
      <c r="AJ12" s="76"/>
      <c r="AK12" s="77"/>
      <c r="AL12" s="76"/>
      <c r="AM12" s="76"/>
      <c r="AN12" s="77"/>
      <c r="AO12" s="76"/>
      <c r="AP12" s="76"/>
      <c r="AQ12" s="77"/>
      <c r="AR12" s="80"/>
      <c r="AS12" s="76"/>
      <c r="AT12" s="77"/>
      <c r="AU12" s="76"/>
      <c r="AV12" s="76"/>
      <c r="AW12" s="77"/>
      <c r="AX12" s="76"/>
      <c r="AY12" s="76"/>
      <c r="AZ12" s="79"/>
      <c r="BA12" s="79"/>
    </row>
    <row r="13" spans="1:58" s="112" customFormat="1" outlineLevel="1">
      <c r="A13" s="81"/>
      <c r="B13" s="81"/>
      <c r="C13" s="81"/>
      <c r="D13" s="81"/>
      <c r="E13" s="81"/>
      <c r="F13" s="81"/>
      <c r="G13" s="81"/>
      <c r="H13" s="81"/>
      <c r="I13" s="77"/>
      <c r="J13" s="114"/>
      <c r="K13" s="115"/>
      <c r="L13" s="81"/>
      <c r="M13" s="81"/>
      <c r="N13" s="113"/>
      <c r="O13" s="81"/>
      <c r="P13" s="81"/>
      <c r="Q13" s="81"/>
      <c r="R13" s="78"/>
      <c r="S13" s="78"/>
      <c r="T13" s="81"/>
      <c r="U13" s="78"/>
      <c r="V13" s="78"/>
      <c r="W13" s="78"/>
      <c r="X13" s="78"/>
      <c r="Y13" s="78"/>
      <c r="Z13" s="78"/>
      <c r="AA13" s="78"/>
      <c r="AB13" s="116"/>
      <c r="AC13" s="114"/>
      <c r="AD13" s="76"/>
      <c r="AE13" s="77"/>
      <c r="AF13" s="76"/>
      <c r="AG13" s="76"/>
      <c r="AH13" s="77"/>
      <c r="AI13" s="76"/>
      <c r="AJ13" s="76"/>
      <c r="AK13" s="77"/>
      <c r="AL13" s="76"/>
      <c r="AM13" s="76"/>
      <c r="AN13" s="77"/>
      <c r="AO13" s="76"/>
      <c r="AP13" s="76"/>
      <c r="AQ13" s="77"/>
      <c r="AR13" s="80"/>
      <c r="AS13" s="76"/>
      <c r="AT13" s="77"/>
      <c r="AU13" s="76"/>
      <c r="AV13" s="76"/>
      <c r="AW13" s="77"/>
      <c r="AX13" s="76"/>
      <c r="AY13" s="76"/>
      <c r="AZ13" s="79"/>
      <c r="BA13" s="79"/>
    </row>
    <row r="14" spans="1:58" s="112" customFormat="1" outlineLevel="1">
      <c r="A14" s="81"/>
      <c r="B14" s="81"/>
      <c r="C14" s="81"/>
      <c r="D14" s="81"/>
      <c r="E14" s="81"/>
      <c r="F14" s="81"/>
      <c r="G14" s="81"/>
      <c r="H14" s="81"/>
      <c r="I14" s="77"/>
      <c r="J14" s="114"/>
      <c r="K14" s="115"/>
      <c r="L14" s="81"/>
      <c r="M14" s="81"/>
      <c r="N14" s="113"/>
      <c r="O14" s="81"/>
      <c r="P14" s="81"/>
      <c r="Q14" s="81"/>
      <c r="R14" s="78"/>
      <c r="S14" s="78"/>
      <c r="T14" s="81"/>
      <c r="U14" s="78"/>
      <c r="V14" s="78"/>
      <c r="W14" s="78"/>
      <c r="X14" s="78"/>
      <c r="Y14" s="78"/>
      <c r="Z14" s="78"/>
      <c r="AA14" s="78"/>
      <c r="AB14" s="116"/>
      <c r="AC14" s="114"/>
      <c r="AD14" s="76"/>
      <c r="AE14" s="77"/>
      <c r="AF14" s="76"/>
      <c r="AG14" s="76"/>
      <c r="AH14" s="77"/>
      <c r="AI14" s="76"/>
      <c r="AJ14" s="76"/>
      <c r="AK14" s="77"/>
      <c r="AL14" s="76"/>
      <c r="AM14" s="76"/>
      <c r="AN14" s="77"/>
      <c r="AO14" s="76"/>
      <c r="AP14" s="76"/>
      <c r="AQ14" s="77"/>
      <c r="AR14" s="80"/>
      <c r="AS14" s="76"/>
      <c r="AT14" s="77"/>
      <c r="AU14" s="76"/>
      <c r="AV14" s="76"/>
      <c r="AW14" s="77"/>
      <c r="AX14" s="76"/>
      <c r="AY14" s="76"/>
      <c r="AZ14" s="79"/>
      <c r="BA14" s="79"/>
    </row>
    <row r="15" spans="1:58" s="112" customFormat="1" outlineLevel="1">
      <c r="A15" s="81"/>
      <c r="B15" s="81"/>
      <c r="C15" s="81"/>
      <c r="D15" s="81"/>
      <c r="E15" s="81"/>
      <c r="F15" s="81"/>
      <c r="G15" s="81"/>
      <c r="H15" s="81"/>
      <c r="I15" s="77"/>
      <c r="J15" s="114"/>
      <c r="K15" s="115"/>
      <c r="L15" s="81"/>
      <c r="M15" s="81"/>
      <c r="N15" s="113"/>
      <c r="O15" s="81"/>
      <c r="P15" s="81"/>
      <c r="Q15" s="81"/>
      <c r="R15" s="78"/>
      <c r="S15" s="78"/>
      <c r="T15" s="81"/>
      <c r="U15" s="78"/>
      <c r="V15" s="78"/>
      <c r="W15" s="78"/>
      <c r="X15" s="78"/>
      <c r="Y15" s="78"/>
      <c r="Z15" s="78"/>
      <c r="AA15" s="78"/>
      <c r="AB15" s="116"/>
      <c r="AC15" s="114"/>
      <c r="AD15" s="76"/>
      <c r="AE15" s="77"/>
      <c r="AF15" s="76"/>
      <c r="AG15" s="76"/>
      <c r="AH15" s="77"/>
      <c r="AI15" s="76"/>
      <c r="AJ15" s="76"/>
      <c r="AK15" s="77"/>
      <c r="AL15" s="76"/>
      <c r="AM15" s="76"/>
      <c r="AN15" s="77"/>
      <c r="AO15" s="76"/>
      <c r="AP15" s="76"/>
      <c r="AQ15" s="77"/>
      <c r="AR15" s="80"/>
      <c r="AS15" s="76"/>
      <c r="AT15" s="77"/>
      <c r="AU15" s="76"/>
      <c r="AV15" s="76"/>
      <c r="AW15" s="77"/>
      <c r="AX15" s="76"/>
      <c r="AY15" s="76"/>
      <c r="AZ15" s="79"/>
      <c r="BA15" s="79"/>
    </row>
    <row r="16" spans="1:58" s="112" customFormat="1" outlineLevel="1">
      <c r="A16" s="81"/>
      <c r="B16" s="81"/>
      <c r="C16" s="81"/>
      <c r="D16" s="81"/>
      <c r="E16" s="81"/>
      <c r="F16" s="81"/>
      <c r="G16" s="81"/>
      <c r="H16" s="81"/>
      <c r="I16" s="77"/>
      <c r="J16" s="114"/>
      <c r="K16" s="115"/>
      <c r="L16" s="81"/>
      <c r="M16" s="81"/>
      <c r="N16" s="113"/>
      <c r="O16" s="81"/>
      <c r="P16" s="81"/>
      <c r="Q16" s="81"/>
      <c r="R16" s="78"/>
      <c r="S16" s="78"/>
      <c r="T16" s="81"/>
      <c r="U16" s="78"/>
      <c r="V16" s="78"/>
      <c r="W16" s="78"/>
      <c r="X16" s="78"/>
      <c r="Y16" s="78"/>
      <c r="Z16" s="78"/>
      <c r="AA16" s="78"/>
      <c r="AB16" s="116"/>
      <c r="AC16" s="114"/>
      <c r="AD16" s="76"/>
      <c r="AE16" s="77"/>
      <c r="AF16" s="76"/>
      <c r="AG16" s="76"/>
      <c r="AH16" s="77"/>
      <c r="AI16" s="76"/>
      <c r="AJ16" s="76"/>
      <c r="AK16" s="77"/>
      <c r="AL16" s="76"/>
      <c r="AM16" s="76"/>
      <c r="AN16" s="77"/>
      <c r="AO16" s="76"/>
      <c r="AP16" s="76"/>
      <c r="AQ16" s="77"/>
      <c r="AR16" s="80"/>
      <c r="AS16" s="76"/>
      <c r="AT16" s="77"/>
      <c r="AU16" s="76"/>
      <c r="AV16" s="76"/>
      <c r="AW16" s="77"/>
      <c r="AX16" s="76"/>
      <c r="AY16" s="76"/>
      <c r="AZ16" s="79"/>
      <c r="BA16" s="79"/>
    </row>
    <row r="17" spans="1:53" s="112" customFormat="1" outlineLevel="1">
      <c r="A17" s="81"/>
      <c r="B17" s="81"/>
      <c r="C17" s="81"/>
      <c r="D17" s="81"/>
      <c r="E17" s="81"/>
      <c r="F17" s="81"/>
      <c r="G17" s="81"/>
      <c r="H17" s="81"/>
      <c r="I17" s="77"/>
      <c r="J17" s="114"/>
      <c r="K17" s="115"/>
      <c r="L17" s="81"/>
      <c r="M17" s="81"/>
      <c r="N17" s="113"/>
      <c r="O17" s="81"/>
      <c r="P17" s="81"/>
      <c r="Q17" s="81"/>
      <c r="R17" s="78"/>
      <c r="S17" s="78"/>
      <c r="T17" s="81"/>
      <c r="U17" s="78"/>
      <c r="V17" s="78"/>
      <c r="W17" s="78"/>
      <c r="X17" s="78"/>
      <c r="Y17" s="78"/>
      <c r="Z17" s="78"/>
      <c r="AA17" s="78"/>
      <c r="AB17" s="116"/>
      <c r="AC17" s="114"/>
      <c r="AD17" s="76"/>
      <c r="AE17" s="77"/>
      <c r="AF17" s="76"/>
      <c r="AG17" s="76"/>
      <c r="AH17" s="77"/>
      <c r="AI17" s="76"/>
      <c r="AJ17" s="76"/>
      <c r="AK17" s="77"/>
      <c r="AL17" s="76"/>
      <c r="AM17" s="76"/>
      <c r="AN17" s="77"/>
      <c r="AO17" s="76"/>
      <c r="AP17" s="76"/>
      <c r="AQ17" s="77"/>
      <c r="AR17" s="80"/>
      <c r="AS17" s="76"/>
      <c r="AT17" s="77"/>
      <c r="AU17" s="76"/>
      <c r="AV17" s="76"/>
      <c r="AW17" s="77"/>
      <c r="AX17" s="76"/>
      <c r="AY17" s="76"/>
      <c r="AZ17" s="79"/>
      <c r="BA17" s="79"/>
    </row>
    <row r="18" spans="1:53" s="112" customFormat="1">
      <c r="A18" s="81"/>
      <c r="B18" s="81"/>
      <c r="C18" s="81"/>
      <c r="D18" s="81"/>
      <c r="E18" s="81"/>
      <c r="F18" s="81"/>
      <c r="G18" s="81"/>
      <c r="H18" s="81"/>
      <c r="I18" s="77"/>
      <c r="J18" s="114"/>
      <c r="K18" s="115"/>
      <c r="L18" s="81"/>
      <c r="M18" s="81"/>
      <c r="N18" s="113"/>
      <c r="O18" s="81"/>
      <c r="P18" s="81"/>
      <c r="Q18" s="81"/>
      <c r="R18" s="78"/>
      <c r="S18" s="78"/>
      <c r="T18" s="81"/>
      <c r="U18" s="78"/>
      <c r="V18" s="78"/>
      <c r="W18" s="78"/>
      <c r="X18" s="78"/>
      <c r="Y18" s="78"/>
      <c r="Z18" s="78"/>
      <c r="AA18" s="78"/>
      <c r="AB18" s="116"/>
      <c r="AC18" s="114"/>
      <c r="AD18" s="76"/>
      <c r="AE18" s="77"/>
      <c r="AF18" s="76"/>
      <c r="AG18" s="76"/>
      <c r="AH18" s="77"/>
      <c r="AI18" s="76"/>
      <c r="AJ18" s="76"/>
      <c r="AK18" s="77"/>
      <c r="AL18" s="76"/>
      <c r="AM18" s="76"/>
      <c r="AN18" s="77"/>
      <c r="AO18" s="76"/>
      <c r="AP18" s="76"/>
      <c r="AQ18" s="77"/>
      <c r="AR18" s="80"/>
      <c r="AS18" s="76"/>
      <c r="AT18" s="77"/>
      <c r="AU18" s="76"/>
      <c r="AV18" s="76"/>
      <c r="AW18" s="77"/>
      <c r="AX18" s="76"/>
      <c r="AY18" s="76"/>
      <c r="AZ18" s="79"/>
      <c r="BA18" s="79"/>
    </row>
    <row r="19" spans="1:53" s="112" customFormat="1" ht="16.5" customHeight="1" outlineLevel="1">
      <c r="A19" s="81"/>
      <c r="B19" s="81"/>
      <c r="C19" s="81"/>
      <c r="D19" s="81"/>
      <c r="E19" s="81"/>
      <c r="F19" s="81"/>
      <c r="G19" s="81"/>
      <c r="H19" s="81"/>
      <c r="I19" s="77"/>
      <c r="J19" s="114"/>
      <c r="K19" s="115"/>
      <c r="L19" s="81"/>
      <c r="M19" s="81"/>
      <c r="N19" s="113"/>
      <c r="O19" s="81"/>
      <c r="P19" s="81"/>
      <c r="Q19" s="81"/>
      <c r="R19" s="78"/>
      <c r="S19" s="78"/>
      <c r="T19" s="81"/>
      <c r="U19" s="78"/>
      <c r="V19" s="78"/>
      <c r="W19" s="78"/>
      <c r="X19" s="78"/>
      <c r="Y19" s="78"/>
      <c r="Z19" s="78"/>
      <c r="AA19" s="78"/>
      <c r="AB19" s="116"/>
      <c r="AC19" s="114"/>
      <c r="AD19" s="76"/>
      <c r="AE19" s="77"/>
      <c r="AF19" s="76"/>
      <c r="AG19" s="76"/>
      <c r="AH19" s="77"/>
      <c r="AI19" s="76"/>
      <c r="AJ19" s="76"/>
      <c r="AK19" s="77"/>
      <c r="AL19" s="76"/>
      <c r="AM19" s="76"/>
      <c r="AN19" s="77"/>
      <c r="AO19" s="76"/>
      <c r="AP19" s="76"/>
      <c r="AQ19" s="77"/>
      <c r="AR19" s="80"/>
      <c r="AS19" s="76"/>
      <c r="AT19" s="77"/>
      <c r="AU19" s="76"/>
      <c r="AV19" s="76"/>
      <c r="AW19" s="77"/>
      <c r="AX19" s="76"/>
      <c r="AY19" s="76"/>
      <c r="AZ19" s="79"/>
      <c r="BA19" s="79"/>
    </row>
    <row r="20" spans="1:53" s="112" customFormat="1" outlineLevel="1">
      <c r="A20" s="81"/>
      <c r="B20" s="81"/>
      <c r="C20" s="81"/>
      <c r="D20" s="81"/>
      <c r="E20" s="81"/>
      <c r="F20" s="81"/>
      <c r="G20" s="81"/>
      <c r="H20" s="81"/>
      <c r="I20" s="77"/>
      <c r="J20" s="114"/>
      <c r="K20" s="115"/>
      <c r="L20" s="81"/>
      <c r="M20" s="81"/>
      <c r="N20" s="113"/>
      <c r="O20" s="81"/>
      <c r="P20" s="81"/>
      <c r="Q20" s="81"/>
      <c r="R20" s="78"/>
      <c r="S20" s="78"/>
      <c r="T20" s="81"/>
      <c r="U20" s="78"/>
      <c r="V20" s="78"/>
      <c r="W20" s="78"/>
      <c r="X20" s="78"/>
      <c r="Y20" s="78"/>
      <c r="Z20" s="78"/>
      <c r="AA20" s="78"/>
      <c r="AB20" s="116"/>
      <c r="AC20" s="114"/>
      <c r="AD20" s="76"/>
      <c r="AE20" s="77"/>
      <c r="AF20" s="76"/>
      <c r="AG20" s="76"/>
      <c r="AH20" s="77"/>
      <c r="AI20" s="76"/>
      <c r="AJ20" s="76"/>
      <c r="AK20" s="77"/>
      <c r="AL20" s="76"/>
      <c r="AM20" s="76"/>
      <c r="AN20" s="77"/>
      <c r="AO20" s="76"/>
      <c r="AP20" s="76"/>
      <c r="AQ20" s="77"/>
      <c r="AR20" s="80"/>
      <c r="AS20" s="76"/>
      <c r="AT20" s="77"/>
      <c r="AU20" s="76"/>
      <c r="AV20" s="76"/>
      <c r="AW20" s="77"/>
      <c r="AX20" s="76"/>
      <c r="AY20" s="76"/>
      <c r="AZ20" s="79"/>
      <c r="BA20" s="79"/>
    </row>
    <row r="21" spans="1:53" s="112" customFormat="1" outlineLevel="1">
      <c r="A21" s="81"/>
      <c r="B21" s="81"/>
      <c r="C21" s="81"/>
      <c r="D21" s="81"/>
      <c r="E21" s="81"/>
      <c r="F21" s="81"/>
      <c r="G21" s="81"/>
      <c r="H21" s="81"/>
      <c r="I21" s="77"/>
      <c r="J21" s="114"/>
      <c r="K21" s="115"/>
      <c r="L21" s="81"/>
      <c r="M21" s="81"/>
      <c r="N21" s="113"/>
      <c r="O21" s="81"/>
      <c r="P21" s="81"/>
      <c r="Q21" s="81"/>
      <c r="R21" s="78"/>
      <c r="S21" s="78"/>
      <c r="T21" s="81"/>
      <c r="U21" s="78"/>
      <c r="V21" s="78"/>
      <c r="W21" s="78"/>
      <c r="X21" s="78"/>
      <c r="Y21" s="78"/>
      <c r="Z21" s="78"/>
      <c r="AA21" s="78"/>
      <c r="AB21" s="116"/>
      <c r="AC21" s="114"/>
      <c r="AD21" s="76"/>
      <c r="AE21" s="77"/>
      <c r="AF21" s="76"/>
      <c r="AG21" s="76"/>
      <c r="AH21" s="77"/>
      <c r="AI21" s="76"/>
      <c r="AJ21" s="76"/>
      <c r="AK21" s="77"/>
      <c r="AL21" s="76"/>
      <c r="AM21" s="76"/>
      <c r="AN21" s="77"/>
      <c r="AO21" s="76"/>
      <c r="AP21" s="76"/>
      <c r="AQ21" s="77"/>
      <c r="AR21" s="80"/>
      <c r="AS21" s="76"/>
      <c r="AT21" s="77"/>
      <c r="AU21" s="76"/>
      <c r="AV21" s="76"/>
      <c r="AW21" s="77"/>
      <c r="AX21" s="76"/>
      <c r="AY21" s="76"/>
      <c r="AZ21" s="79"/>
      <c r="BA21" s="79"/>
    </row>
    <row r="22" spans="1:53" s="112" customFormat="1" outlineLevel="1">
      <c r="A22" s="81"/>
      <c r="B22" s="81"/>
      <c r="C22" s="81"/>
      <c r="D22" s="81"/>
      <c r="E22" s="81"/>
      <c r="F22" s="81"/>
      <c r="G22" s="81"/>
      <c r="H22" s="81"/>
      <c r="I22" s="77"/>
      <c r="J22" s="114"/>
      <c r="K22" s="115"/>
      <c r="L22" s="81"/>
      <c r="M22" s="81"/>
      <c r="N22" s="113"/>
      <c r="O22" s="81"/>
      <c r="P22" s="81"/>
      <c r="Q22" s="81"/>
      <c r="R22" s="78"/>
      <c r="S22" s="78"/>
      <c r="T22" s="81"/>
      <c r="U22" s="78"/>
      <c r="V22" s="78"/>
      <c r="W22" s="78"/>
      <c r="X22" s="78"/>
      <c r="Y22" s="78"/>
      <c r="Z22" s="78"/>
      <c r="AA22" s="78"/>
      <c r="AB22" s="116"/>
      <c r="AC22" s="114"/>
      <c r="AD22" s="76"/>
      <c r="AE22" s="77"/>
      <c r="AF22" s="76"/>
      <c r="AG22" s="76"/>
      <c r="AH22" s="77"/>
      <c r="AI22" s="76"/>
      <c r="AJ22" s="76"/>
      <c r="AK22" s="77"/>
      <c r="AL22" s="76"/>
      <c r="AM22" s="76"/>
      <c r="AN22" s="77"/>
      <c r="AO22" s="76"/>
      <c r="AP22" s="76"/>
      <c r="AQ22" s="77"/>
      <c r="AR22" s="80"/>
      <c r="AS22" s="76"/>
      <c r="AT22" s="77"/>
      <c r="AU22" s="76"/>
      <c r="AV22" s="76"/>
      <c r="AW22" s="77"/>
      <c r="AX22" s="76"/>
      <c r="AY22" s="76"/>
      <c r="AZ22" s="79"/>
      <c r="BA22" s="79"/>
    </row>
    <row r="23" spans="1:53" s="112" customFormat="1" outlineLevel="1">
      <c r="A23" s="81"/>
      <c r="B23" s="81"/>
      <c r="C23" s="81"/>
      <c r="D23" s="81"/>
      <c r="E23" s="81"/>
      <c r="F23" s="81"/>
      <c r="G23" s="81"/>
      <c r="H23" s="81"/>
      <c r="I23" s="77"/>
      <c r="J23" s="114"/>
      <c r="K23" s="115"/>
      <c r="L23" s="81"/>
      <c r="M23" s="81"/>
      <c r="N23" s="113"/>
      <c r="O23" s="81"/>
      <c r="P23" s="81"/>
      <c r="Q23" s="81"/>
      <c r="R23" s="78"/>
      <c r="S23" s="78"/>
      <c r="T23" s="81"/>
      <c r="U23" s="78"/>
      <c r="V23" s="78"/>
      <c r="W23" s="78"/>
      <c r="X23" s="78"/>
      <c r="Y23" s="78"/>
      <c r="Z23" s="78"/>
      <c r="AA23" s="78"/>
      <c r="AB23" s="116"/>
      <c r="AC23" s="114"/>
      <c r="AD23" s="76"/>
      <c r="AE23" s="77"/>
      <c r="AF23" s="76"/>
      <c r="AG23" s="76"/>
      <c r="AH23" s="77"/>
      <c r="AI23" s="76"/>
      <c r="AJ23" s="76"/>
      <c r="AK23" s="77"/>
      <c r="AL23" s="76"/>
      <c r="AM23" s="76"/>
      <c r="AN23" s="77"/>
      <c r="AO23" s="76"/>
      <c r="AP23" s="76"/>
      <c r="AQ23" s="77"/>
      <c r="AR23" s="80"/>
      <c r="AS23" s="76"/>
      <c r="AT23" s="77"/>
      <c r="AU23" s="76"/>
      <c r="AV23" s="76"/>
      <c r="AW23" s="77"/>
      <c r="AX23" s="76"/>
      <c r="AY23" s="76"/>
      <c r="AZ23" s="79"/>
      <c r="BA23" s="79"/>
    </row>
    <row r="24" spans="1:53" s="112" customFormat="1" outlineLevel="1">
      <c r="A24" s="81"/>
      <c r="B24" s="81"/>
      <c r="C24" s="81"/>
      <c r="D24" s="81"/>
      <c r="E24" s="81"/>
      <c r="F24" s="81"/>
      <c r="G24" s="81"/>
      <c r="H24" s="81"/>
      <c r="I24" s="77"/>
      <c r="J24" s="114"/>
      <c r="K24" s="115"/>
      <c r="L24" s="81"/>
      <c r="M24" s="81"/>
      <c r="N24" s="113"/>
      <c r="O24" s="81"/>
      <c r="P24" s="81"/>
      <c r="Q24" s="81"/>
      <c r="R24" s="78"/>
      <c r="S24" s="78"/>
      <c r="T24" s="81"/>
      <c r="U24" s="78"/>
      <c r="V24" s="78"/>
      <c r="W24" s="78"/>
      <c r="X24" s="78"/>
      <c r="Y24" s="78"/>
      <c r="Z24" s="78"/>
      <c r="AA24" s="78"/>
      <c r="AB24" s="116"/>
      <c r="AC24" s="114"/>
      <c r="AD24" s="76"/>
      <c r="AE24" s="77"/>
      <c r="AF24" s="76"/>
      <c r="AG24" s="76"/>
      <c r="AH24" s="77"/>
      <c r="AI24" s="76"/>
      <c r="AJ24" s="76"/>
      <c r="AK24" s="77"/>
      <c r="AL24" s="76"/>
      <c r="AM24" s="76"/>
      <c r="AN24" s="77"/>
      <c r="AO24" s="76"/>
      <c r="AP24" s="76"/>
      <c r="AQ24" s="77"/>
      <c r="AR24" s="80"/>
      <c r="AS24" s="76"/>
      <c r="AT24" s="77"/>
      <c r="AU24" s="76"/>
      <c r="AV24" s="76"/>
      <c r="AW24" s="77"/>
      <c r="AX24" s="76"/>
      <c r="AY24" s="76"/>
      <c r="AZ24" s="79"/>
      <c r="BA24" s="79"/>
    </row>
    <row r="25" spans="1:53" s="112" customFormat="1" outlineLevel="1">
      <c r="A25" s="81"/>
      <c r="B25" s="81"/>
      <c r="C25" s="81"/>
      <c r="D25" s="81"/>
      <c r="E25" s="81"/>
      <c r="F25" s="81"/>
      <c r="G25" s="81"/>
      <c r="H25" s="81"/>
      <c r="I25" s="77"/>
      <c r="J25" s="114"/>
      <c r="K25" s="115"/>
      <c r="L25" s="81"/>
      <c r="M25" s="81"/>
      <c r="N25" s="113"/>
      <c r="O25" s="81"/>
      <c r="P25" s="81"/>
      <c r="Q25" s="81"/>
      <c r="R25" s="78"/>
      <c r="S25" s="78"/>
      <c r="T25" s="81"/>
      <c r="U25" s="78"/>
      <c r="V25" s="78"/>
      <c r="W25" s="78"/>
      <c r="X25" s="78"/>
      <c r="Y25" s="78"/>
      <c r="Z25" s="78"/>
      <c r="AA25" s="78"/>
      <c r="AB25" s="116"/>
      <c r="AC25" s="114"/>
      <c r="AD25" s="76"/>
      <c r="AE25" s="77"/>
      <c r="AF25" s="76"/>
      <c r="AG25" s="76"/>
      <c r="AH25" s="77"/>
      <c r="AI25" s="76"/>
      <c r="AJ25" s="76"/>
      <c r="AK25" s="77"/>
      <c r="AL25" s="76"/>
      <c r="AM25" s="76"/>
      <c r="AN25" s="77"/>
      <c r="AO25" s="76"/>
      <c r="AP25" s="76"/>
      <c r="AQ25" s="77"/>
      <c r="AR25" s="80"/>
      <c r="AS25" s="76"/>
      <c r="AT25" s="77"/>
      <c r="AU25" s="76"/>
      <c r="AV25" s="76"/>
      <c r="AW25" s="77"/>
      <c r="AX25" s="76"/>
      <c r="AY25" s="76"/>
      <c r="AZ25" s="79"/>
      <c r="BA25" s="79"/>
    </row>
    <row r="26" spans="1:53" s="112" customFormat="1" outlineLevel="1">
      <c r="A26" s="81"/>
      <c r="B26" s="81"/>
      <c r="C26" s="81"/>
      <c r="D26" s="81"/>
      <c r="E26" s="81"/>
      <c r="F26" s="81"/>
      <c r="G26" s="81"/>
      <c r="H26" s="81"/>
      <c r="I26" s="77"/>
      <c r="J26" s="114"/>
      <c r="K26" s="115"/>
      <c r="L26" s="81"/>
      <c r="M26" s="81"/>
      <c r="N26" s="113"/>
      <c r="O26" s="81"/>
      <c r="P26" s="81"/>
      <c r="Q26" s="81"/>
      <c r="R26" s="78"/>
      <c r="S26" s="78"/>
      <c r="T26" s="81"/>
      <c r="U26" s="78"/>
      <c r="V26" s="78"/>
      <c r="W26" s="78"/>
      <c r="X26" s="78"/>
      <c r="Y26" s="78"/>
      <c r="Z26" s="78"/>
      <c r="AA26" s="78"/>
      <c r="AB26" s="116"/>
      <c r="AC26" s="114"/>
      <c r="AD26" s="76"/>
      <c r="AE26" s="77"/>
      <c r="AF26" s="76"/>
      <c r="AG26" s="76"/>
      <c r="AH26" s="77"/>
      <c r="AI26" s="76"/>
      <c r="AJ26" s="76"/>
      <c r="AK26" s="77"/>
      <c r="AL26" s="76"/>
      <c r="AM26" s="76"/>
      <c r="AN26" s="77"/>
      <c r="AO26" s="76"/>
      <c r="AP26" s="76"/>
      <c r="AQ26" s="77"/>
      <c r="AR26" s="80"/>
      <c r="AS26" s="76"/>
      <c r="AT26" s="77"/>
      <c r="AU26" s="76"/>
      <c r="AV26" s="76"/>
      <c r="AW26" s="77"/>
      <c r="AX26" s="76"/>
      <c r="AY26" s="76"/>
      <c r="AZ26" s="79"/>
      <c r="BA26" s="79"/>
    </row>
    <row r="27" spans="1:53" s="112" customFormat="1" outlineLevel="1">
      <c r="A27" s="81"/>
      <c r="B27" s="81"/>
      <c r="C27" s="81"/>
      <c r="D27" s="81"/>
      <c r="E27" s="81"/>
      <c r="F27" s="81"/>
      <c r="G27" s="81"/>
      <c r="H27" s="81"/>
      <c r="I27" s="77"/>
      <c r="J27" s="114"/>
      <c r="K27" s="115"/>
      <c r="L27" s="81"/>
      <c r="M27" s="81"/>
      <c r="N27" s="113"/>
      <c r="O27" s="81"/>
      <c r="P27" s="81"/>
      <c r="Q27" s="81"/>
      <c r="R27" s="78"/>
      <c r="S27" s="78"/>
      <c r="T27" s="81"/>
      <c r="U27" s="78"/>
      <c r="V27" s="78"/>
      <c r="W27" s="78"/>
      <c r="X27" s="78"/>
      <c r="Y27" s="78"/>
      <c r="Z27" s="78"/>
      <c r="AA27" s="78"/>
      <c r="AB27" s="116"/>
      <c r="AC27" s="114"/>
      <c r="AD27" s="76"/>
      <c r="AE27" s="77"/>
      <c r="AF27" s="76"/>
      <c r="AG27" s="76"/>
      <c r="AH27" s="77"/>
      <c r="AI27" s="76"/>
      <c r="AJ27" s="76"/>
      <c r="AK27" s="77"/>
      <c r="AL27" s="76"/>
      <c r="AM27" s="76"/>
      <c r="AN27" s="77"/>
      <c r="AO27" s="76"/>
      <c r="AP27" s="76"/>
      <c r="AQ27" s="77"/>
      <c r="AR27" s="80"/>
      <c r="AS27" s="76"/>
      <c r="AT27" s="77"/>
      <c r="AU27" s="76"/>
      <c r="AV27" s="76"/>
      <c r="AW27" s="77"/>
      <c r="AX27" s="76"/>
      <c r="AY27" s="76"/>
      <c r="AZ27" s="79"/>
      <c r="BA27" s="79"/>
    </row>
    <row r="28" spans="1:53" s="112" customFormat="1" outlineLevel="1">
      <c r="A28" s="81"/>
      <c r="B28" s="81"/>
      <c r="C28" s="81"/>
      <c r="D28" s="81"/>
      <c r="E28" s="81"/>
      <c r="F28" s="81"/>
      <c r="G28" s="81"/>
      <c r="H28" s="81"/>
      <c r="I28" s="77"/>
      <c r="J28" s="114"/>
      <c r="K28" s="115"/>
      <c r="L28" s="81"/>
      <c r="M28" s="81"/>
      <c r="N28" s="113"/>
      <c r="O28" s="81"/>
      <c r="P28" s="81"/>
      <c r="Q28" s="81"/>
      <c r="R28" s="78"/>
      <c r="S28" s="78"/>
      <c r="T28" s="81"/>
      <c r="U28" s="78"/>
      <c r="V28" s="78"/>
      <c r="W28" s="78"/>
      <c r="X28" s="78"/>
      <c r="Y28" s="78"/>
      <c r="Z28" s="78"/>
      <c r="AA28" s="78"/>
      <c r="AB28" s="116"/>
      <c r="AC28" s="114"/>
      <c r="AD28" s="76"/>
      <c r="AE28" s="77"/>
      <c r="AF28" s="76"/>
      <c r="AG28" s="76"/>
      <c r="AH28" s="77"/>
      <c r="AI28" s="76"/>
      <c r="AJ28" s="76"/>
      <c r="AK28" s="77"/>
      <c r="AL28" s="76"/>
      <c r="AM28" s="76"/>
      <c r="AN28" s="77"/>
      <c r="AO28" s="76"/>
      <c r="AP28" s="76"/>
      <c r="AQ28" s="77"/>
      <c r="AR28" s="80"/>
      <c r="AS28" s="76"/>
      <c r="AT28" s="77"/>
      <c r="AU28" s="76"/>
      <c r="AV28" s="76"/>
      <c r="AW28" s="77"/>
      <c r="AX28" s="76"/>
      <c r="AY28" s="76"/>
      <c r="AZ28" s="79"/>
      <c r="BA28" s="79"/>
    </row>
    <row r="29" spans="1:53" s="112" customFormat="1" outlineLevel="1">
      <c r="A29" s="81"/>
      <c r="B29" s="81"/>
      <c r="C29" s="81"/>
      <c r="D29" s="81"/>
      <c r="E29" s="81"/>
      <c r="F29" s="81"/>
      <c r="G29" s="81"/>
      <c r="H29" s="81"/>
      <c r="I29" s="77"/>
      <c r="J29" s="114"/>
      <c r="K29" s="115"/>
      <c r="L29" s="81"/>
      <c r="M29" s="81"/>
      <c r="N29" s="113"/>
      <c r="O29" s="81"/>
      <c r="P29" s="81"/>
      <c r="Q29" s="81"/>
      <c r="R29" s="78"/>
      <c r="S29" s="78"/>
      <c r="T29" s="81"/>
      <c r="U29" s="78"/>
      <c r="V29" s="78"/>
      <c r="W29" s="78"/>
      <c r="X29" s="78"/>
      <c r="Y29" s="78"/>
      <c r="Z29" s="78"/>
      <c r="AA29" s="78"/>
      <c r="AB29" s="116"/>
      <c r="AC29" s="114"/>
      <c r="AD29" s="76"/>
      <c r="AE29" s="77"/>
      <c r="AF29" s="76"/>
      <c r="AG29" s="76"/>
      <c r="AH29" s="77"/>
      <c r="AI29" s="76"/>
      <c r="AJ29" s="76"/>
      <c r="AK29" s="77"/>
      <c r="AL29" s="76"/>
      <c r="AM29" s="76"/>
      <c r="AN29" s="77"/>
      <c r="AO29" s="76"/>
      <c r="AP29" s="76"/>
      <c r="AQ29" s="77"/>
      <c r="AR29" s="80"/>
      <c r="AS29" s="76"/>
      <c r="AT29" s="77"/>
      <c r="AU29" s="76"/>
      <c r="AV29" s="76"/>
      <c r="AW29" s="77"/>
      <c r="AX29" s="76"/>
      <c r="AY29" s="76"/>
      <c r="AZ29" s="79"/>
      <c r="BA29" s="79"/>
    </row>
    <row r="30" spans="1:53" s="112" customFormat="1" outlineLevel="1">
      <c r="A30" s="81"/>
      <c r="B30" s="81"/>
      <c r="C30" s="81"/>
      <c r="D30" s="81"/>
      <c r="E30" s="81"/>
      <c r="F30" s="81"/>
      <c r="G30" s="81"/>
      <c r="H30" s="81"/>
      <c r="I30" s="77"/>
      <c r="J30" s="114"/>
      <c r="K30" s="115"/>
      <c r="L30" s="81"/>
      <c r="M30" s="81"/>
      <c r="N30" s="113"/>
      <c r="O30" s="81"/>
      <c r="P30" s="81"/>
      <c r="Q30" s="81"/>
      <c r="R30" s="78"/>
      <c r="S30" s="78"/>
      <c r="T30" s="81"/>
      <c r="U30" s="78"/>
      <c r="V30" s="78"/>
      <c r="W30" s="78"/>
      <c r="X30" s="78"/>
      <c r="Y30" s="78"/>
      <c r="Z30" s="78"/>
      <c r="AA30" s="78"/>
      <c r="AB30" s="116"/>
      <c r="AC30" s="114"/>
      <c r="AD30" s="76"/>
      <c r="AE30" s="77"/>
      <c r="AF30" s="76"/>
      <c r="AG30" s="76"/>
      <c r="AH30" s="77"/>
      <c r="AI30" s="76"/>
      <c r="AJ30" s="76"/>
      <c r="AK30" s="77"/>
      <c r="AL30" s="76"/>
      <c r="AM30" s="76"/>
      <c r="AN30" s="77"/>
      <c r="AO30" s="76"/>
      <c r="AP30" s="76"/>
      <c r="AQ30" s="77"/>
      <c r="AR30" s="80"/>
      <c r="AS30" s="76"/>
      <c r="AT30" s="77"/>
      <c r="AU30" s="76"/>
      <c r="AV30" s="76"/>
      <c r="AW30" s="77"/>
      <c r="AX30" s="76"/>
      <c r="AY30" s="76"/>
      <c r="AZ30" s="79"/>
      <c r="BA30" s="79"/>
    </row>
    <row r="31" spans="1:53" s="112" customFormat="1" outlineLevel="1">
      <c r="A31" s="81"/>
      <c r="B31" s="81"/>
      <c r="C31" s="81"/>
      <c r="D31" s="81"/>
      <c r="E31" s="81"/>
      <c r="F31" s="81"/>
      <c r="G31" s="81"/>
      <c r="H31" s="81"/>
      <c r="I31" s="77"/>
      <c r="J31" s="114"/>
      <c r="K31" s="115"/>
      <c r="L31" s="81"/>
      <c r="M31" s="81"/>
      <c r="N31" s="113"/>
      <c r="O31" s="81"/>
      <c r="P31" s="81"/>
      <c r="Q31" s="81"/>
      <c r="R31" s="78"/>
      <c r="S31" s="78"/>
      <c r="T31" s="81"/>
      <c r="U31" s="78"/>
      <c r="V31" s="78"/>
      <c r="W31" s="78"/>
      <c r="X31" s="78"/>
      <c r="Y31" s="78"/>
      <c r="Z31" s="78"/>
      <c r="AA31" s="78"/>
      <c r="AB31" s="116"/>
      <c r="AC31" s="114"/>
      <c r="AD31" s="76"/>
      <c r="AE31" s="77"/>
      <c r="AF31" s="76"/>
      <c r="AG31" s="76"/>
      <c r="AH31" s="77"/>
      <c r="AI31" s="76"/>
      <c r="AJ31" s="76"/>
      <c r="AK31" s="77"/>
      <c r="AL31" s="76"/>
      <c r="AM31" s="76"/>
      <c r="AN31" s="77"/>
      <c r="AO31" s="76"/>
      <c r="AP31" s="76"/>
      <c r="AQ31" s="77"/>
      <c r="AR31" s="80"/>
      <c r="AS31" s="76"/>
      <c r="AT31" s="77"/>
      <c r="AU31" s="76"/>
      <c r="AV31" s="76"/>
      <c r="AW31" s="77"/>
      <c r="AX31" s="76"/>
      <c r="AY31" s="76"/>
      <c r="AZ31" s="79"/>
      <c r="BA31" s="79"/>
    </row>
    <row r="32" spans="1:53" s="112" customFormat="1" outlineLevel="1">
      <c r="A32" s="81"/>
      <c r="B32" s="81"/>
      <c r="C32" s="81"/>
      <c r="D32" s="81"/>
      <c r="E32" s="81"/>
      <c r="F32" s="81"/>
      <c r="G32" s="81"/>
      <c r="H32" s="81"/>
      <c r="I32" s="77"/>
      <c r="J32" s="114"/>
      <c r="K32" s="115"/>
      <c r="L32" s="81"/>
      <c r="M32" s="81"/>
      <c r="N32" s="113"/>
      <c r="O32" s="81"/>
      <c r="P32" s="81"/>
      <c r="Q32" s="81"/>
      <c r="R32" s="78"/>
      <c r="S32" s="78"/>
      <c r="T32" s="81"/>
      <c r="U32" s="78"/>
      <c r="V32" s="78"/>
      <c r="W32" s="78"/>
      <c r="X32" s="78"/>
      <c r="Y32" s="78"/>
      <c r="Z32" s="78"/>
      <c r="AA32" s="78"/>
      <c r="AB32" s="116"/>
      <c r="AC32" s="114"/>
      <c r="AD32" s="76"/>
      <c r="AE32" s="77"/>
      <c r="AF32" s="76"/>
      <c r="AG32" s="76"/>
      <c r="AH32" s="77"/>
      <c r="AI32" s="76"/>
      <c r="AJ32" s="76"/>
      <c r="AK32" s="77"/>
      <c r="AL32" s="76"/>
      <c r="AM32" s="76"/>
      <c r="AN32" s="77"/>
      <c r="AO32" s="76"/>
      <c r="AP32" s="76"/>
      <c r="AQ32" s="77"/>
      <c r="AR32" s="80"/>
      <c r="AS32" s="76"/>
      <c r="AT32" s="77"/>
      <c r="AU32" s="76"/>
      <c r="AV32" s="76"/>
      <c r="AW32" s="77"/>
      <c r="AX32" s="76"/>
      <c r="AY32" s="76"/>
      <c r="AZ32" s="79"/>
      <c r="BA32" s="79"/>
    </row>
    <row r="33" spans="1:53" s="112" customFormat="1">
      <c r="A33" s="81"/>
      <c r="B33" s="81"/>
      <c r="C33" s="81"/>
      <c r="D33" s="81"/>
      <c r="E33" s="81"/>
      <c r="F33" s="81"/>
      <c r="G33" s="81"/>
      <c r="H33" s="81"/>
      <c r="I33" s="77"/>
      <c r="J33" s="114"/>
      <c r="K33" s="115"/>
      <c r="L33" s="81"/>
      <c r="M33" s="81"/>
      <c r="N33" s="113"/>
      <c r="O33" s="81"/>
      <c r="P33" s="81"/>
      <c r="Q33" s="81"/>
      <c r="R33" s="78"/>
      <c r="S33" s="78"/>
      <c r="T33" s="81"/>
      <c r="U33" s="78"/>
      <c r="V33" s="78"/>
      <c r="W33" s="78"/>
      <c r="X33" s="78"/>
      <c r="Y33" s="78"/>
      <c r="Z33" s="78"/>
      <c r="AA33" s="78"/>
      <c r="AB33" s="116"/>
      <c r="AC33" s="114"/>
      <c r="AD33" s="76"/>
      <c r="AE33" s="77"/>
      <c r="AF33" s="76"/>
      <c r="AG33" s="76"/>
      <c r="AH33" s="77"/>
      <c r="AI33" s="76"/>
      <c r="AJ33" s="76"/>
      <c r="AK33" s="77"/>
      <c r="AL33" s="76"/>
      <c r="AM33" s="76"/>
      <c r="AN33" s="77"/>
      <c r="AO33" s="76"/>
      <c r="AP33" s="76"/>
      <c r="AQ33" s="77"/>
      <c r="AR33" s="80"/>
      <c r="AS33" s="76"/>
      <c r="AT33" s="77"/>
      <c r="AU33" s="76"/>
      <c r="AV33" s="76"/>
      <c r="AW33" s="77"/>
      <c r="AX33" s="76"/>
      <c r="AY33" s="76"/>
      <c r="AZ33" s="79"/>
      <c r="BA33" s="79"/>
    </row>
    <row r="34" spans="1:53" s="112" customFormat="1" ht="15.75" customHeight="1" outlineLevel="1">
      <c r="A34" s="81"/>
      <c r="B34" s="81"/>
      <c r="C34" s="81"/>
      <c r="D34" s="81"/>
      <c r="E34" s="81"/>
      <c r="F34" s="81"/>
      <c r="G34" s="81"/>
      <c r="H34" s="81"/>
      <c r="I34" s="77"/>
      <c r="J34" s="114"/>
      <c r="K34" s="115"/>
      <c r="L34" s="81"/>
      <c r="M34" s="81"/>
      <c r="N34" s="113"/>
      <c r="O34" s="81"/>
      <c r="P34" s="81"/>
      <c r="Q34" s="81"/>
      <c r="R34" s="78"/>
      <c r="S34" s="78"/>
      <c r="T34" s="81"/>
      <c r="U34" s="78"/>
      <c r="V34" s="78"/>
      <c r="W34" s="78"/>
      <c r="X34" s="78"/>
      <c r="Y34" s="78"/>
      <c r="Z34" s="78"/>
      <c r="AA34" s="78"/>
      <c r="AB34" s="116"/>
      <c r="AC34" s="114"/>
      <c r="AD34" s="76"/>
      <c r="AE34" s="77"/>
      <c r="AF34" s="76"/>
      <c r="AG34" s="76"/>
      <c r="AH34" s="77"/>
      <c r="AI34" s="76"/>
      <c r="AJ34" s="76"/>
      <c r="AK34" s="77"/>
      <c r="AL34" s="76"/>
      <c r="AM34" s="76"/>
      <c r="AN34" s="77"/>
      <c r="AO34" s="76"/>
      <c r="AP34" s="76"/>
      <c r="AQ34" s="77"/>
      <c r="AR34" s="80"/>
      <c r="AS34" s="76"/>
      <c r="AT34" s="77"/>
      <c r="AU34" s="76"/>
      <c r="AV34" s="76"/>
      <c r="AW34" s="77"/>
      <c r="AX34" s="76"/>
      <c r="AY34" s="76"/>
      <c r="AZ34" s="79"/>
      <c r="BA34" s="79"/>
    </row>
    <row r="35" spans="1:53" s="112" customFormat="1" outlineLevel="1">
      <c r="A35" s="81"/>
      <c r="B35" s="81"/>
      <c r="C35" s="81"/>
      <c r="D35" s="81"/>
      <c r="E35" s="81"/>
      <c r="F35" s="81"/>
      <c r="G35" s="81"/>
      <c r="H35" s="81"/>
      <c r="I35" s="77"/>
      <c r="J35" s="114"/>
      <c r="K35" s="115"/>
      <c r="L35" s="81"/>
      <c r="M35" s="81"/>
      <c r="N35" s="113"/>
      <c r="O35" s="81"/>
      <c r="P35" s="81"/>
      <c r="Q35" s="81"/>
      <c r="R35" s="78"/>
      <c r="S35" s="78"/>
      <c r="T35" s="81"/>
      <c r="U35" s="78"/>
      <c r="V35" s="78"/>
      <c r="W35" s="78"/>
      <c r="X35" s="78"/>
      <c r="Y35" s="78"/>
      <c r="Z35" s="78"/>
      <c r="AA35" s="78"/>
      <c r="AB35" s="116"/>
      <c r="AC35" s="114"/>
      <c r="AD35" s="76"/>
      <c r="AE35" s="77"/>
      <c r="AF35" s="76"/>
      <c r="AG35" s="76"/>
      <c r="AH35" s="77"/>
      <c r="AI35" s="76"/>
      <c r="AJ35" s="76"/>
      <c r="AK35" s="77"/>
      <c r="AL35" s="76"/>
      <c r="AM35" s="76"/>
      <c r="AN35" s="77"/>
      <c r="AO35" s="76"/>
      <c r="AP35" s="76"/>
      <c r="AQ35" s="77"/>
      <c r="AR35" s="80"/>
      <c r="AS35" s="76"/>
      <c r="AT35" s="77"/>
      <c r="AU35" s="76"/>
      <c r="AV35" s="76"/>
      <c r="AW35" s="77"/>
      <c r="AX35" s="76"/>
      <c r="AY35" s="76"/>
      <c r="AZ35" s="79"/>
      <c r="BA35" s="79"/>
    </row>
    <row r="36" spans="1:53" s="112" customFormat="1" outlineLevel="1">
      <c r="A36" s="81"/>
      <c r="B36" s="81"/>
      <c r="C36" s="81"/>
      <c r="D36" s="81"/>
      <c r="E36" s="81"/>
      <c r="F36" s="81"/>
      <c r="G36" s="81"/>
      <c r="H36" s="81"/>
      <c r="I36" s="77"/>
      <c r="J36" s="114"/>
      <c r="K36" s="115"/>
      <c r="L36" s="81"/>
      <c r="M36" s="81"/>
      <c r="N36" s="113"/>
      <c r="O36" s="81"/>
      <c r="P36" s="81"/>
      <c r="Q36" s="81"/>
      <c r="R36" s="78"/>
      <c r="S36" s="78"/>
      <c r="T36" s="81"/>
      <c r="U36" s="78"/>
      <c r="V36" s="78"/>
      <c r="W36" s="78"/>
      <c r="X36" s="78"/>
      <c r="Y36" s="78"/>
      <c r="Z36" s="78"/>
      <c r="AA36" s="78"/>
      <c r="AB36" s="116"/>
      <c r="AC36" s="114"/>
      <c r="AD36" s="76"/>
      <c r="AE36" s="77"/>
      <c r="AF36" s="76"/>
      <c r="AG36" s="76"/>
      <c r="AH36" s="77"/>
      <c r="AI36" s="76"/>
      <c r="AJ36" s="76"/>
      <c r="AK36" s="77"/>
      <c r="AL36" s="76"/>
      <c r="AM36" s="76"/>
      <c r="AN36" s="77"/>
      <c r="AO36" s="76"/>
      <c r="AP36" s="76"/>
      <c r="AQ36" s="77"/>
      <c r="AR36" s="80"/>
      <c r="AS36" s="76"/>
      <c r="AT36" s="77"/>
      <c r="AU36" s="76"/>
      <c r="AV36" s="76"/>
      <c r="AW36" s="77"/>
      <c r="AX36" s="76"/>
      <c r="AY36" s="76"/>
      <c r="AZ36" s="79"/>
      <c r="BA36" s="79"/>
    </row>
    <row r="37" spans="1:53" s="112" customFormat="1" outlineLevel="1">
      <c r="A37" s="81"/>
      <c r="B37" s="81"/>
      <c r="C37" s="81"/>
      <c r="D37" s="81"/>
      <c r="E37" s="81"/>
      <c r="F37" s="81"/>
      <c r="G37" s="81"/>
      <c r="H37" s="81"/>
      <c r="I37" s="77"/>
      <c r="J37" s="114"/>
      <c r="K37" s="115"/>
      <c r="L37" s="81"/>
      <c r="M37" s="81"/>
      <c r="N37" s="113"/>
      <c r="O37" s="81"/>
      <c r="P37" s="81"/>
      <c r="Q37" s="81"/>
      <c r="R37" s="78"/>
      <c r="S37" s="78"/>
      <c r="T37" s="81"/>
      <c r="U37" s="78"/>
      <c r="V37" s="78"/>
      <c r="W37" s="78"/>
      <c r="X37" s="78"/>
      <c r="Y37" s="78"/>
      <c r="Z37" s="78"/>
      <c r="AA37" s="78"/>
      <c r="AB37" s="116"/>
      <c r="AC37" s="114"/>
      <c r="AD37" s="76"/>
      <c r="AE37" s="77"/>
      <c r="AF37" s="76"/>
      <c r="AG37" s="76"/>
      <c r="AH37" s="77"/>
      <c r="AI37" s="76"/>
      <c r="AJ37" s="76"/>
      <c r="AK37" s="77"/>
      <c r="AL37" s="76"/>
      <c r="AM37" s="76"/>
      <c r="AN37" s="77"/>
      <c r="AO37" s="76"/>
      <c r="AP37" s="76"/>
      <c r="AQ37" s="77"/>
      <c r="AR37" s="80"/>
      <c r="AS37" s="76"/>
      <c r="AT37" s="77"/>
      <c r="AU37" s="76"/>
      <c r="AV37" s="76"/>
      <c r="AW37" s="77"/>
      <c r="AX37" s="76"/>
      <c r="AY37" s="76"/>
      <c r="AZ37" s="79"/>
      <c r="BA37" s="79"/>
    </row>
    <row r="38" spans="1:53" s="112" customFormat="1" outlineLevel="1">
      <c r="A38" s="81"/>
      <c r="B38" s="81"/>
      <c r="C38" s="81"/>
      <c r="D38" s="81"/>
      <c r="E38" s="81"/>
      <c r="F38" s="81"/>
      <c r="G38" s="81"/>
      <c r="H38" s="81"/>
      <c r="I38" s="77"/>
      <c r="J38" s="114"/>
      <c r="K38" s="115"/>
      <c r="L38" s="81"/>
      <c r="M38" s="81"/>
      <c r="N38" s="113"/>
      <c r="O38" s="81"/>
      <c r="P38" s="81"/>
      <c r="Q38" s="81"/>
      <c r="R38" s="78"/>
      <c r="S38" s="78"/>
      <c r="T38" s="81"/>
      <c r="U38" s="78"/>
      <c r="V38" s="78"/>
      <c r="W38" s="78"/>
      <c r="X38" s="78"/>
      <c r="Y38" s="78"/>
      <c r="Z38" s="78"/>
      <c r="AA38" s="78"/>
      <c r="AB38" s="116"/>
      <c r="AC38" s="114"/>
      <c r="AD38" s="76"/>
      <c r="AE38" s="77"/>
      <c r="AF38" s="76"/>
      <c r="AG38" s="76"/>
      <c r="AH38" s="77"/>
      <c r="AI38" s="76"/>
      <c r="AJ38" s="76"/>
      <c r="AK38" s="77"/>
      <c r="AL38" s="76"/>
      <c r="AM38" s="76"/>
      <c r="AN38" s="77"/>
      <c r="AO38" s="76"/>
      <c r="AP38" s="76"/>
      <c r="AQ38" s="77"/>
      <c r="AR38" s="80"/>
      <c r="AS38" s="76"/>
      <c r="AT38" s="77"/>
      <c r="AU38" s="76"/>
      <c r="AV38" s="76"/>
      <c r="AW38" s="77"/>
      <c r="AX38" s="76"/>
      <c r="AY38" s="76"/>
      <c r="AZ38" s="79"/>
      <c r="BA38" s="79"/>
    </row>
    <row r="39" spans="1:53" s="112" customFormat="1" outlineLevel="1">
      <c r="A39" s="81"/>
      <c r="B39" s="81"/>
      <c r="C39" s="81"/>
      <c r="D39" s="81"/>
      <c r="E39" s="81"/>
      <c r="F39" s="81"/>
      <c r="G39" s="81"/>
      <c r="H39" s="81"/>
      <c r="I39" s="77"/>
      <c r="J39" s="114"/>
      <c r="K39" s="115"/>
      <c r="L39" s="81"/>
      <c r="M39" s="81"/>
      <c r="N39" s="113"/>
      <c r="O39" s="81"/>
      <c r="P39" s="81"/>
      <c r="Q39" s="81"/>
      <c r="R39" s="78"/>
      <c r="S39" s="78"/>
      <c r="T39" s="81"/>
      <c r="U39" s="78"/>
      <c r="V39" s="78"/>
      <c r="W39" s="78"/>
      <c r="X39" s="78"/>
      <c r="Y39" s="78"/>
      <c r="Z39" s="78"/>
      <c r="AA39" s="78"/>
      <c r="AB39" s="116"/>
      <c r="AC39" s="114"/>
      <c r="AD39" s="76"/>
      <c r="AE39" s="77"/>
      <c r="AF39" s="76"/>
      <c r="AG39" s="76"/>
      <c r="AH39" s="77"/>
      <c r="AI39" s="76"/>
      <c r="AJ39" s="76"/>
      <c r="AK39" s="77"/>
      <c r="AL39" s="76"/>
      <c r="AM39" s="76"/>
      <c r="AN39" s="77"/>
      <c r="AO39" s="76"/>
      <c r="AP39" s="76"/>
      <c r="AQ39" s="77"/>
      <c r="AR39" s="80"/>
      <c r="AS39" s="76"/>
      <c r="AT39" s="77"/>
      <c r="AU39" s="76"/>
      <c r="AV39" s="76"/>
      <c r="AW39" s="77"/>
      <c r="AX39" s="76"/>
      <c r="AY39" s="76"/>
      <c r="AZ39" s="79"/>
      <c r="BA39" s="79"/>
    </row>
    <row r="40" spans="1:53" s="112" customFormat="1" outlineLevel="1">
      <c r="A40" s="81"/>
      <c r="B40" s="81"/>
      <c r="C40" s="81"/>
      <c r="D40" s="81"/>
      <c r="E40" s="81"/>
      <c r="F40" s="81"/>
      <c r="G40" s="81"/>
      <c r="H40" s="81"/>
      <c r="I40" s="77"/>
      <c r="J40" s="114"/>
      <c r="K40" s="115"/>
      <c r="L40" s="81"/>
      <c r="M40" s="81"/>
      <c r="N40" s="113"/>
      <c r="O40" s="81"/>
      <c r="P40" s="81"/>
      <c r="Q40" s="81"/>
      <c r="R40" s="78"/>
      <c r="S40" s="78"/>
      <c r="T40" s="81"/>
      <c r="U40" s="78"/>
      <c r="V40" s="78"/>
      <c r="W40" s="78"/>
      <c r="X40" s="78"/>
      <c r="Y40" s="78"/>
      <c r="Z40" s="78"/>
      <c r="AA40" s="78"/>
      <c r="AB40" s="116"/>
      <c r="AC40" s="114"/>
      <c r="AD40" s="76"/>
      <c r="AE40" s="77"/>
      <c r="AF40" s="76"/>
      <c r="AG40" s="76"/>
      <c r="AH40" s="77"/>
      <c r="AI40" s="76"/>
      <c r="AJ40" s="76"/>
      <c r="AK40" s="77"/>
      <c r="AL40" s="76"/>
      <c r="AM40" s="76"/>
      <c r="AN40" s="77"/>
      <c r="AO40" s="76"/>
      <c r="AP40" s="76"/>
      <c r="AQ40" s="77"/>
      <c r="AR40" s="80"/>
      <c r="AS40" s="76"/>
      <c r="AT40" s="77"/>
      <c r="AU40" s="76"/>
      <c r="AV40" s="76"/>
      <c r="AW40" s="77"/>
      <c r="AX40" s="76"/>
      <c r="AY40" s="76"/>
      <c r="AZ40" s="79"/>
      <c r="BA40" s="79"/>
    </row>
    <row r="41" spans="1:53" s="112" customFormat="1" outlineLevel="1">
      <c r="A41" s="81"/>
      <c r="B41" s="81"/>
      <c r="C41" s="81"/>
      <c r="D41" s="81"/>
      <c r="E41" s="81"/>
      <c r="F41" s="81"/>
      <c r="G41" s="81"/>
      <c r="H41" s="81"/>
      <c r="I41" s="77"/>
      <c r="J41" s="114"/>
      <c r="K41" s="115"/>
      <c r="L41" s="81"/>
      <c r="M41" s="81"/>
      <c r="N41" s="113"/>
      <c r="O41" s="81"/>
      <c r="P41" s="81"/>
      <c r="Q41" s="81"/>
      <c r="R41" s="78"/>
      <c r="S41" s="78"/>
      <c r="T41" s="81"/>
      <c r="U41" s="78"/>
      <c r="V41" s="78"/>
      <c r="W41" s="78"/>
      <c r="X41" s="78"/>
      <c r="Y41" s="78"/>
      <c r="Z41" s="78"/>
      <c r="AA41" s="78"/>
      <c r="AB41" s="116"/>
      <c r="AC41" s="114"/>
      <c r="AD41" s="76"/>
      <c r="AE41" s="77"/>
      <c r="AF41" s="76"/>
      <c r="AG41" s="76"/>
      <c r="AH41" s="77"/>
      <c r="AI41" s="76"/>
      <c r="AJ41" s="76"/>
      <c r="AK41" s="77"/>
      <c r="AL41" s="76"/>
      <c r="AM41" s="76"/>
      <c r="AN41" s="77"/>
      <c r="AO41" s="76"/>
      <c r="AP41" s="76"/>
      <c r="AQ41" s="77"/>
      <c r="AR41" s="80"/>
      <c r="AS41" s="76"/>
      <c r="AT41" s="77"/>
      <c r="AU41" s="76"/>
      <c r="AV41" s="76"/>
      <c r="AW41" s="77"/>
      <c r="AX41" s="76"/>
      <c r="AY41" s="76"/>
      <c r="AZ41" s="79"/>
      <c r="BA41" s="79"/>
    </row>
    <row r="42" spans="1:53" s="112" customFormat="1" outlineLevel="1">
      <c r="A42" s="81"/>
      <c r="B42" s="81"/>
      <c r="C42" s="81"/>
      <c r="D42" s="81"/>
      <c r="E42" s="81"/>
      <c r="F42" s="81"/>
      <c r="G42" s="81"/>
      <c r="H42" s="81"/>
      <c r="I42" s="77"/>
      <c r="J42" s="114"/>
      <c r="K42" s="115"/>
      <c r="L42" s="81"/>
      <c r="M42" s="81"/>
      <c r="N42" s="113"/>
      <c r="O42" s="81"/>
      <c r="P42" s="81"/>
      <c r="Q42" s="81"/>
      <c r="R42" s="78"/>
      <c r="S42" s="78"/>
      <c r="T42" s="81"/>
      <c r="U42" s="78"/>
      <c r="V42" s="78"/>
      <c r="W42" s="78"/>
      <c r="X42" s="78"/>
      <c r="Y42" s="78"/>
      <c r="Z42" s="78"/>
      <c r="AA42" s="78"/>
      <c r="AB42" s="116"/>
      <c r="AC42" s="114"/>
      <c r="AD42" s="76"/>
      <c r="AE42" s="77"/>
      <c r="AF42" s="76"/>
      <c r="AG42" s="76"/>
      <c r="AH42" s="77"/>
      <c r="AI42" s="76"/>
      <c r="AJ42" s="76"/>
      <c r="AK42" s="77"/>
      <c r="AL42" s="76"/>
      <c r="AM42" s="76"/>
      <c r="AN42" s="77"/>
      <c r="AO42" s="76"/>
      <c r="AP42" s="76"/>
      <c r="AQ42" s="77"/>
      <c r="AR42" s="80"/>
      <c r="AS42" s="76"/>
      <c r="AT42" s="77"/>
      <c r="AU42" s="76"/>
      <c r="AV42" s="76"/>
      <c r="AW42" s="77"/>
      <c r="AX42" s="76"/>
      <c r="AY42" s="76"/>
      <c r="AZ42" s="79"/>
      <c r="BA42" s="79"/>
    </row>
    <row r="43" spans="1:53" s="112" customFormat="1" outlineLevel="1">
      <c r="A43" s="81"/>
      <c r="B43" s="81"/>
      <c r="C43" s="81"/>
      <c r="D43" s="81"/>
      <c r="E43" s="81"/>
      <c r="F43" s="81"/>
      <c r="G43" s="81"/>
      <c r="H43" s="81"/>
      <c r="I43" s="77"/>
      <c r="J43" s="114"/>
      <c r="K43" s="115"/>
      <c r="L43" s="81"/>
      <c r="M43" s="81"/>
      <c r="N43" s="113"/>
      <c r="O43" s="81"/>
      <c r="P43" s="81"/>
      <c r="Q43" s="81"/>
      <c r="R43" s="78"/>
      <c r="S43" s="78"/>
      <c r="T43" s="81"/>
      <c r="U43" s="78"/>
      <c r="V43" s="78"/>
      <c r="W43" s="78"/>
      <c r="X43" s="78"/>
      <c r="Y43" s="78"/>
      <c r="Z43" s="78"/>
      <c r="AA43" s="78"/>
      <c r="AB43" s="116"/>
      <c r="AC43" s="114"/>
      <c r="AD43" s="76"/>
      <c r="AE43" s="77"/>
      <c r="AF43" s="76"/>
      <c r="AG43" s="76"/>
      <c r="AH43" s="77"/>
      <c r="AI43" s="76"/>
      <c r="AJ43" s="76"/>
      <c r="AK43" s="77"/>
      <c r="AL43" s="76"/>
      <c r="AM43" s="76"/>
      <c r="AN43" s="77"/>
      <c r="AO43" s="76"/>
      <c r="AP43" s="76"/>
      <c r="AQ43" s="77"/>
      <c r="AR43" s="80"/>
      <c r="AS43" s="76"/>
      <c r="AT43" s="77"/>
      <c r="AU43" s="76"/>
      <c r="AV43" s="76"/>
      <c r="AW43" s="77"/>
      <c r="AX43" s="76"/>
      <c r="AY43" s="76"/>
      <c r="AZ43" s="79"/>
      <c r="BA43" s="79"/>
    </row>
    <row r="44" spans="1:53" s="112" customFormat="1" outlineLevel="1">
      <c r="A44" s="81"/>
      <c r="B44" s="81"/>
      <c r="C44" s="81"/>
      <c r="D44" s="81"/>
      <c r="E44" s="81"/>
      <c r="F44" s="81"/>
      <c r="G44" s="81"/>
      <c r="H44" s="81"/>
      <c r="I44" s="77"/>
      <c r="J44" s="114"/>
      <c r="K44" s="115"/>
      <c r="L44" s="81"/>
      <c r="M44" s="81"/>
      <c r="N44" s="113"/>
      <c r="O44" s="81"/>
      <c r="P44" s="81"/>
      <c r="Q44" s="81"/>
      <c r="R44" s="78"/>
      <c r="S44" s="78"/>
      <c r="T44" s="81"/>
      <c r="U44" s="78"/>
      <c r="V44" s="78"/>
      <c r="W44" s="78"/>
      <c r="X44" s="78"/>
      <c r="Y44" s="78"/>
      <c r="Z44" s="78"/>
      <c r="AA44" s="78"/>
      <c r="AB44" s="116"/>
      <c r="AC44" s="114"/>
      <c r="AD44" s="76"/>
      <c r="AE44" s="77"/>
      <c r="AF44" s="76"/>
      <c r="AG44" s="76"/>
      <c r="AH44" s="77"/>
      <c r="AI44" s="76"/>
      <c r="AJ44" s="76"/>
      <c r="AK44" s="77"/>
      <c r="AL44" s="76"/>
      <c r="AM44" s="76"/>
      <c r="AN44" s="77"/>
      <c r="AO44" s="76"/>
      <c r="AP44" s="76"/>
      <c r="AQ44" s="77"/>
      <c r="AR44" s="80"/>
      <c r="AS44" s="76"/>
      <c r="AT44" s="77"/>
      <c r="AU44" s="76"/>
      <c r="AV44" s="76"/>
      <c r="AW44" s="77"/>
      <c r="AX44" s="76"/>
      <c r="AY44" s="76"/>
      <c r="AZ44" s="79"/>
      <c r="BA44" s="79"/>
    </row>
    <row r="45" spans="1:53" s="112" customFormat="1" outlineLevel="1">
      <c r="A45" s="81"/>
      <c r="B45" s="81"/>
      <c r="C45" s="81"/>
      <c r="D45" s="81"/>
      <c r="E45" s="81"/>
      <c r="F45" s="81"/>
      <c r="G45" s="81"/>
      <c r="H45" s="81"/>
      <c r="I45" s="77"/>
      <c r="J45" s="114"/>
      <c r="K45" s="115"/>
      <c r="L45" s="81"/>
      <c r="M45" s="81"/>
      <c r="N45" s="113"/>
      <c r="O45" s="81"/>
      <c r="P45" s="81"/>
      <c r="Q45" s="81"/>
      <c r="R45" s="78"/>
      <c r="S45" s="78"/>
      <c r="T45" s="81"/>
      <c r="U45" s="78"/>
      <c r="V45" s="78"/>
      <c r="W45" s="78"/>
      <c r="X45" s="78"/>
      <c r="Y45" s="78"/>
      <c r="Z45" s="78"/>
      <c r="AA45" s="78"/>
      <c r="AB45" s="116"/>
      <c r="AC45" s="114"/>
      <c r="AD45" s="76"/>
      <c r="AE45" s="77"/>
      <c r="AF45" s="76"/>
      <c r="AG45" s="76"/>
      <c r="AH45" s="77"/>
      <c r="AI45" s="76"/>
      <c r="AJ45" s="76"/>
      <c r="AK45" s="77"/>
      <c r="AL45" s="76"/>
      <c r="AM45" s="76"/>
      <c r="AN45" s="77"/>
      <c r="AO45" s="76"/>
      <c r="AP45" s="76"/>
      <c r="AQ45" s="77"/>
      <c r="AR45" s="80"/>
      <c r="AS45" s="76"/>
      <c r="AT45" s="77"/>
      <c r="AU45" s="76"/>
      <c r="AV45" s="76"/>
      <c r="AW45" s="77"/>
      <c r="AX45" s="76"/>
      <c r="AY45" s="76"/>
      <c r="AZ45" s="79"/>
      <c r="BA45" s="79"/>
    </row>
    <row r="46" spans="1:53" s="83" customFormat="1">
      <c r="A46" s="81"/>
      <c r="B46" s="81"/>
      <c r="C46" s="81"/>
      <c r="D46" s="81"/>
      <c r="E46" s="81"/>
      <c r="F46" s="81"/>
      <c r="G46" s="81"/>
      <c r="H46" s="81"/>
      <c r="I46" s="77"/>
      <c r="J46" s="114"/>
      <c r="K46" s="115"/>
      <c r="L46" s="81"/>
      <c r="M46" s="81"/>
      <c r="N46" s="113"/>
      <c r="O46" s="81"/>
      <c r="P46" s="81"/>
      <c r="Q46" s="81"/>
      <c r="R46" s="78"/>
      <c r="S46" s="78"/>
      <c r="T46" s="81"/>
      <c r="U46" s="78"/>
      <c r="V46" s="78"/>
      <c r="W46" s="78"/>
      <c r="X46" s="78"/>
      <c r="Y46" s="78"/>
      <c r="Z46" s="78"/>
      <c r="AA46" s="78"/>
      <c r="AB46" s="116"/>
      <c r="AC46" s="114"/>
      <c r="AD46" s="76"/>
      <c r="AE46" s="77"/>
      <c r="AF46" s="76"/>
      <c r="AG46" s="76"/>
      <c r="AH46" s="77"/>
      <c r="AI46" s="76"/>
      <c r="AJ46" s="76"/>
      <c r="AK46" s="77"/>
      <c r="AL46" s="76"/>
      <c r="AM46" s="76"/>
      <c r="AN46" s="77"/>
      <c r="AO46" s="76"/>
      <c r="AP46" s="76"/>
      <c r="AQ46" s="77"/>
      <c r="AR46" s="80"/>
      <c r="AS46" s="76"/>
      <c r="AT46" s="77"/>
      <c r="AU46" s="76"/>
      <c r="AV46" s="76"/>
      <c r="AW46" s="77"/>
      <c r="AX46" s="76"/>
      <c r="AY46" s="76"/>
      <c r="AZ46" s="79"/>
      <c r="BA46" s="79"/>
    </row>
    <row r="47" spans="1:53" s="83" customFormat="1" ht="16.5" customHeight="1" outlineLevel="1">
      <c r="A47" s="81"/>
      <c r="B47" s="81"/>
      <c r="C47" s="81"/>
      <c r="D47" s="81"/>
      <c r="E47" s="81"/>
      <c r="F47" s="81"/>
      <c r="G47" s="81"/>
      <c r="H47" s="81"/>
      <c r="I47" s="77"/>
      <c r="J47" s="114"/>
      <c r="K47" s="115"/>
      <c r="L47" s="81"/>
      <c r="M47" s="81"/>
      <c r="N47" s="113"/>
      <c r="O47" s="81"/>
      <c r="P47" s="81"/>
      <c r="Q47" s="81"/>
      <c r="R47" s="78"/>
      <c r="S47" s="78"/>
      <c r="T47" s="81"/>
      <c r="U47" s="78"/>
      <c r="V47" s="78"/>
      <c r="W47" s="78"/>
      <c r="X47" s="78"/>
      <c r="Y47" s="78"/>
      <c r="Z47" s="78"/>
      <c r="AA47" s="78"/>
      <c r="AB47" s="116"/>
      <c r="AC47" s="114"/>
      <c r="AD47" s="76"/>
      <c r="AE47" s="77"/>
      <c r="AF47" s="76"/>
      <c r="AG47" s="76"/>
      <c r="AH47" s="77"/>
      <c r="AI47" s="76"/>
      <c r="AJ47" s="76"/>
      <c r="AK47" s="77"/>
      <c r="AL47" s="76"/>
      <c r="AM47" s="76"/>
      <c r="AN47" s="77"/>
      <c r="AO47" s="76"/>
      <c r="AP47" s="76"/>
      <c r="AQ47" s="77"/>
      <c r="AR47" s="80"/>
      <c r="AS47" s="76"/>
      <c r="AT47" s="77"/>
      <c r="AU47" s="76"/>
      <c r="AV47" s="76"/>
      <c r="AW47" s="77"/>
      <c r="AX47" s="76"/>
      <c r="AY47" s="76"/>
      <c r="AZ47" s="79"/>
      <c r="BA47" s="79"/>
    </row>
    <row r="48" spans="1:53" s="83" customFormat="1" ht="16.5" customHeight="1" outlineLevel="1">
      <c r="A48" s="81"/>
      <c r="B48" s="81"/>
      <c r="C48" s="81"/>
      <c r="D48" s="81"/>
      <c r="E48" s="81"/>
      <c r="F48" s="81"/>
      <c r="G48" s="81"/>
      <c r="H48" s="81"/>
      <c r="I48" s="77"/>
      <c r="J48" s="114"/>
      <c r="K48" s="115"/>
      <c r="L48" s="81"/>
      <c r="M48" s="81"/>
      <c r="N48" s="113"/>
      <c r="O48" s="81"/>
      <c r="P48" s="81"/>
      <c r="Q48" s="81"/>
      <c r="R48" s="78"/>
      <c r="S48" s="78"/>
      <c r="T48" s="81"/>
      <c r="U48" s="78"/>
      <c r="V48" s="78"/>
      <c r="W48" s="78"/>
      <c r="X48" s="78"/>
      <c r="Y48" s="78"/>
      <c r="Z48" s="78"/>
      <c r="AA48" s="78"/>
      <c r="AB48" s="116"/>
      <c r="AC48" s="114"/>
      <c r="AD48" s="76"/>
      <c r="AE48" s="77"/>
      <c r="AF48" s="76"/>
      <c r="AG48" s="76"/>
      <c r="AH48" s="77"/>
      <c r="AI48" s="76"/>
      <c r="AJ48" s="76"/>
      <c r="AK48" s="77"/>
      <c r="AL48" s="76"/>
      <c r="AM48" s="76"/>
      <c r="AN48" s="77"/>
      <c r="AO48" s="76"/>
      <c r="AP48" s="76"/>
      <c r="AQ48" s="77"/>
      <c r="AR48" s="80"/>
      <c r="AS48" s="76"/>
      <c r="AT48" s="77"/>
      <c r="AU48" s="76"/>
      <c r="AV48" s="76"/>
      <c r="AW48" s="77"/>
      <c r="AX48" s="76"/>
      <c r="AY48" s="76"/>
      <c r="AZ48" s="79"/>
      <c r="BA48" s="79"/>
    </row>
    <row r="49" spans="1:53" s="83" customFormat="1" ht="16.5" customHeight="1" outlineLevel="1">
      <c r="A49" s="81"/>
      <c r="B49" s="81"/>
      <c r="C49" s="81"/>
      <c r="D49" s="81"/>
      <c r="E49" s="81"/>
      <c r="F49" s="81"/>
      <c r="G49" s="81"/>
      <c r="H49" s="81"/>
      <c r="I49" s="77"/>
      <c r="J49" s="114"/>
      <c r="K49" s="115"/>
      <c r="L49" s="81"/>
      <c r="M49" s="81"/>
      <c r="N49" s="113"/>
      <c r="O49" s="81"/>
      <c r="P49" s="81"/>
      <c r="Q49" s="81"/>
      <c r="R49" s="78"/>
      <c r="S49" s="78"/>
      <c r="T49" s="81"/>
      <c r="U49" s="78"/>
      <c r="V49" s="78"/>
      <c r="W49" s="78"/>
      <c r="X49" s="78"/>
      <c r="Y49" s="78"/>
      <c r="Z49" s="78"/>
      <c r="AA49" s="78"/>
      <c r="AB49" s="116"/>
      <c r="AC49" s="114"/>
      <c r="AD49" s="76"/>
      <c r="AE49" s="77"/>
      <c r="AF49" s="76"/>
      <c r="AG49" s="76"/>
      <c r="AH49" s="77"/>
      <c r="AI49" s="76"/>
      <c r="AJ49" s="76"/>
      <c r="AK49" s="77"/>
      <c r="AL49" s="76"/>
      <c r="AM49" s="76"/>
      <c r="AN49" s="77"/>
      <c r="AO49" s="76"/>
      <c r="AP49" s="76"/>
      <c r="AQ49" s="77"/>
      <c r="AR49" s="80"/>
      <c r="AS49" s="76"/>
      <c r="AT49" s="77"/>
      <c r="AU49" s="76"/>
      <c r="AV49" s="76"/>
      <c r="AW49" s="77"/>
      <c r="AX49" s="76"/>
      <c r="AY49" s="76"/>
      <c r="AZ49" s="79"/>
      <c r="BA49" s="79"/>
    </row>
    <row r="50" spans="1:53" s="83" customFormat="1" ht="16.5" customHeight="1" outlineLevel="1">
      <c r="A50" s="81"/>
      <c r="B50" s="81"/>
      <c r="C50" s="81"/>
      <c r="D50" s="81"/>
      <c r="E50" s="81"/>
      <c r="F50" s="81"/>
      <c r="G50" s="81"/>
      <c r="H50" s="81"/>
      <c r="I50" s="77"/>
      <c r="J50" s="114"/>
      <c r="K50" s="115"/>
      <c r="L50" s="81"/>
      <c r="M50" s="81"/>
      <c r="N50" s="113"/>
      <c r="O50" s="81"/>
      <c r="P50" s="81"/>
      <c r="Q50" s="81"/>
      <c r="R50" s="78"/>
      <c r="S50" s="78"/>
      <c r="T50" s="81"/>
      <c r="U50" s="78"/>
      <c r="V50" s="78"/>
      <c r="W50" s="78"/>
      <c r="X50" s="78"/>
      <c r="Y50" s="78"/>
      <c r="Z50" s="78"/>
      <c r="AA50" s="78"/>
      <c r="AB50" s="116"/>
      <c r="AC50" s="114"/>
      <c r="AD50" s="76"/>
      <c r="AE50" s="77"/>
      <c r="AF50" s="76"/>
      <c r="AG50" s="76"/>
      <c r="AH50" s="77"/>
      <c r="AI50" s="76"/>
      <c r="AJ50" s="76"/>
      <c r="AK50" s="77"/>
      <c r="AL50" s="76"/>
      <c r="AM50" s="76"/>
      <c r="AN50" s="77"/>
      <c r="AO50" s="76"/>
      <c r="AP50" s="76"/>
      <c r="AQ50" s="77"/>
      <c r="AR50" s="80"/>
      <c r="AS50" s="76"/>
      <c r="AT50" s="77"/>
      <c r="AU50" s="76"/>
      <c r="AV50" s="76"/>
      <c r="AW50" s="77"/>
      <c r="AX50" s="76"/>
      <c r="AY50" s="76"/>
      <c r="AZ50" s="79"/>
      <c r="BA50" s="79"/>
    </row>
    <row r="51" spans="1:53" s="83" customFormat="1" ht="16.5" customHeight="1" outlineLevel="1">
      <c r="A51" s="81"/>
      <c r="B51" s="81"/>
      <c r="C51" s="81"/>
      <c r="D51" s="81"/>
      <c r="E51" s="81"/>
      <c r="F51" s="81"/>
      <c r="G51" s="81"/>
      <c r="H51" s="81"/>
      <c r="I51" s="77"/>
      <c r="J51" s="114"/>
      <c r="K51" s="115"/>
      <c r="L51" s="81"/>
      <c r="M51" s="81"/>
      <c r="N51" s="113"/>
      <c r="O51" s="81"/>
      <c r="P51" s="81"/>
      <c r="Q51" s="81"/>
      <c r="R51" s="78"/>
      <c r="S51" s="78"/>
      <c r="T51" s="81"/>
      <c r="U51" s="78"/>
      <c r="V51" s="78"/>
      <c r="W51" s="78"/>
      <c r="X51" s="78"/>
      <c r="Y51" s="78"/>
      <c r="Z51" s="78"/>
      <c r="AA51" s="78"/>
      <c r="AB51" s="116"/>
      <c r="AC51" s="114"/>
      <c r="AD51" s="76"/>
      <c r="AE51" s="77"/>
      <c r="AF51" s="76"/>
      <c r="AG51" s="76"/>
      <c r="AH51" s="77"/>
      <c r="AI51" s="76"/>
      <c r="AJ51" s="76"/>
      <c r="AK51" s="77"/>
      <c r="AL51" s="76"/>
      <c r="AM51" s="76"/>
      <c r="AN51" s="77"/>
      <c r="AO51" s="76"/>
      <c r="AP51" s="76"/>
      <c r="AQ51" s="77"/>
      <c r="AR51" s="80"/>
      <c r="AS51" s="76"/>
      <c r="AT51" s="77"/>
      <c r="AU51" s="76"/>
      <c r="AV51" s="76"/>
      <c r="AW51" s="77"/>
      <c r="AX51" s="76"/>
      <c r="AY51" s="76"/>
      <c r="AZ51" s="79"/>
      <c r="BA51" s="79"/>
    </row>
    <row r="52" spans="1:53" s="83" customFormat="1" ht="16.5" customHeight="1" outlineLevel="1">
      <c r="A52" s="81"/>
      <c r="B52" s="81"/>
      <c r="C52" s="81"/>
      <c r="D52" s="81"/>
      <c r="E52" s="81"/>
      <c r="F52" s="81"/>
      <c r="G52" s="81"/>
      <c r="H52" s="81"/>
      <c r="I52" s="77"/>
      <c r="J52" s="114"/>
      <c r="K52" s="115"/>
      <c r="L52" s="81"/>
      <c r="M52" s="81"/>
      <c r="N52" s="113"/>
      <c r="O52" s="81"/>
      <c r="P52" s="81"/>
      <c r="Q52" s="81"/>
      <c r="R52" s="78"/>
      <c r="S52" s="78"/>
      <c r="T52" s="81"/>
      <c r="U52" s="78"/>
      <c r="V52" s="78"/>
      <c r="W52" s="78"/>
      <c r="X52" s="78"/>
      <c r="Y52" s="78"/>
      <c r="Z52" s="78"/>
      <c r="AA52" s="78"/>
      <c r="AB52" s="116"/>
      <c r="AC52" s="114"/>
      <c r="AD52" s="76"/>
      <c r="AE52" s="77"/>
      <c r="AF52" s="76"/>
      <c r="AG52" s="76"/>
      <c r="AH52" s="77"/>
      <c r="AI52" s="76"/>
      <c r="AJ52" s="76"/>
      <c r="AK52" s="77"/>
      <c r="AL52" s="76"/>
      <c r="AM52" s="76"/>
      <c r="AN52" s="77"/>
      <c r="AO52" s="76"/>
      <c r="AP52" s="76"/>
      <c r="AQ52" s="77"/>
      <c r="AR52" s="80"/>
      <c r="AS52" s="76"/>
      <c r="AT52" s="77"/>
      <c r="AU52" s="76"/>
      <c r="AV52" s="76"/>
      <c r="AW52" s="77"/>
      <c r="AX52" s="76"/>
      <c r="AY52" s="76"/>
      <c r="AZ52" s="79"/>
      <c r="BA52" s="79"/>
    </row>
    <row r="53" spans="1:53" s="83" customFormat="1" ht="16.5" customHeight="1" outlineLevel="1">
      <c r="A53" s="81"/>
      <c r="B53" s="81"/>
      <c r="C53" s="81"/>
      <c r="D53" s="81"/>
      <c r="E53" s="81"/>
      <c r="F53" s="81"/>
      <c r="G53" s="81"/>
      <c r="H53" s="81"/>
      <c r="I53" s="77"/>
      <c r="J53" s="114"/>
      <c r="K53" s="115"/>
      <c r="L53" s="81"/>
      <c r="M53" s="81"/>
      <c r="N53" s="113"/>
      <c r="O53" s="81"/>
      <c r="P53" s="81"/>
      <c r="Q53" s="81"/>
      <c r="R53" s="78"/>
      <c r="S53" s="78"/>
      <c r="T53" s="81"/>
      <c r="U53" s="78"/>
      <c r="V53" s="78"/>
      <c r="W53" s="78"/>
      <c r="X53" s="78"/>
      <c r="Y53" s="78"/>
      <c r="Z53" s="78"/>
      <c r="AA53" s="78"/>
      <c r="AB53" s="116"/>
      <c r="AC53" s="114"/>
      <c r="AD53" s="76"/>
      <c r="AE53" s="77"/>
      <c r="AF53" s="76"/>
      <c r="AG53" s="76"/>
      <c r="AH53" s="77"/>
      <c r="AI53" s="76"/>
      <c r="AJ53" s="76"/>
      <c r="AK53" s="77"/>
      <c r="AL53" s="76"/>
      <c r="AM53" s="76"/>
      <c r="AN53" s="77"/>
      <c r="AO53" s="76"/>
      <c r="AP53" s="76"/>
      <c r="AQ53" s="77"/>
      <c r="AR53" s="80"/>
      <c r="AS53" s="76"/>
      <c r="AT53" s="77"/>
      <c r="AU53" s="76"/>
      <c r="AV53" s="76"/>
      <c r="AW53" s="77"/>
      <c r="AX53" s="76"/>
      <c r="AY53" s="76"/>
      <c r="AZ53" s="79"/>
      <c r="BA53" s="79"/>
    </row>
    <row r="54" spans="1:53" s="83" customFormat="1" ht="16.5" customHeight="1" outlineLevel="1">
      <c r="A54" s="81"/>
      <c r="B54" s="81"/>
      <c r="C54" s="81"/>
      <c r="D54" s="81"/>
      <c r="E54" s="81"/>
      <c r="F54" s="81"/>
      <c r="G54" s="81"/>
      <c r="H54" s="81"/>
      <c r="I54" s="77"/>
      <c r="J54" s="114"/>
      <c r="K54" s="115"/>
      <c r="L54" s="81"/>
      <c r="M54" s="81"/>
      <c r="N54" s="113"/>
      <c r="O54" s="81"/>
      <c r="P54" s="81"/>
      <c r="Q54" s="81"/>
      <c r="R54" s="78"/>
      <c r="S54" s="78"/>
      <c r="T54" s="81"/>
      <c r="U54" s="78"/>
      <c r="V54" s="78"/>
      <c r="W54" s="78"/>
      <c r="X54" s="78"/>
      <c r="Y54" s="78"/>
      <c r="Z54" s="78"/>
      <c r="AA54" s="78"/>
      <c r="AB54" s="116"/>
      <c r="AC54" s="114"/>
      <c r="AD54" s="76"/>
      <c r="AE54" s="77"/>
      <c r="AF54" s="76"/>
      <c r="AG54" s="76"/>
      <c r="AH54" s="77"/>
      <c r="AI54" s="76"/>
      <c r="AJ54" s="76"/>
      <c r="AK54" s="77"/>
      <c r="AL54" s="76"/>
      <c r="AM54" s="76"/>
      <c r="AN54" s="77"/>
      <c r="AO54" s="76"/>
      <c r="AP54" s="76"/>
      <c r="AQ54" s="77"/>
      <c r="AR54" s="80"/>
      <c r="AS54" s="76"/>
      <c r="AT54" s="77"/>
      <c r="AU54" s="76"/>
      <c r="AV54" s="76"/>
      <c r="AW54" s="77"/>
      <c r="AX54" s="76"/>
      <c r="AY54" s="76"/>
      <c r="AZ54" s="79"/>
      <c r="BA54" s="79"/>
    </row>
    <row r="55" spans="1:53" s="83" customFormat="1" ht="16.5" customHeight="1" outlineLevel="1">
      <c r="A55" s="81"/>
      <c r="B55" s="81"/>
      <c r="C55" s="81"/>
      <c r="D55" s="81"/>
      <c r="E55" s="81"/>
      <c r="F55" s="81"/>
      <c r="G55" s="81"/>
      <c r="H55" s="81"/>
      <c r="I55" s="77"/>
      <c r="J55" s="114"/>
      <c r="K55" s="115"/>
      <c r="L55" s="81"/>
      <c r="M55" s="81"/>
      <c r="N55" s="113"/>
      <c r="O55" s="81"/>
      <c r="P55" s="81"/>
      <c r="Q55" s="81"/>
      <c r="R55" s="78"/>
      <c r="S55" s="78"/>
      <c r="T55" s="81"/>
      <c r="U55" s="78"/>
      <c r="V55" s="78"/>
      <c r="W55" s="78"/>
      <c r="X55" s="78"/>
      <c r="Y55" s="78"/>
      <c r="Z55" s="78"/>
      <c r="AA55" s="78"/>
      <c r="AB55" s="116"/>
      <c r="AC55" s="114"/>
      <c r="AD55" s="76"/>
      <c r="AE55" s="77"/>
      <c r="AF55" s="76"/>
      <c r="AG55" s="76"/>
      <c r="AH55" s="77"/>
      <c r="AI55" s="76"/>
      <c r="AJ55" s="76"/>
      <c r="AK55" s="77"/>
      <c r="AL55" s="76"/>
      <c r="AM55" s="76"/>
      <c r="AN55" s="77"/>
      <c r="AO55" s="76"/>
      <c r="AP55" s="76"/>
      <c r="AQ55" s="77"/>
      <c r="AR55" s="80"/>
      <c r="AS55" s="76"/>
      <c r="AT55" s="77"/>
      <c r="AU55" s="76"/>
      <c r="AV55" s="76"/>
      <c r="AW55" s="77"/>
      <c r="AX55" s="76"/>
      <c r="AY55" s="76"/>
      <c r="AZ55" s="79"/>
      <c r="BA55" s="79"/>
    </row>
    <row r="56" spans="1:53" s="83" customFormat="1" ht="15.65" customHeight="1" outlineLevel="1">
      <c r="A56" s="81"/>
      <c r="B56" s="81"/>
      <c r="C56" s="81"/>
      <c r="D56" s="81"/>
      <c r="E56" s="81"/>
      <c r="F56" s="81"/>
      <c r="G56" s="81"/>
      <c r="H56" s="81"/>
      <c r="I56" s="77"/>
      <c r="J56" s="114"/>
      <c r="K56" s="115"/>
      <c r="L56" s="81"/>
      <c r="M56" s="81"/>
      <c r="N56" s="113"/>
      <c r="O56" s="81"/>
      <c r="P56" s="81"/>
      <c r="Q56" s="81"/>
      <c r="R56" s="78"/>
      <c r="S56" s="78"/>
      <c r="T56" s="81"/>
      <c r="U56" s="78"/>
      <c r="V56" s="78"/>
      <c r="W56" s="78"/>
      <c r="X56" s="78"/>
      <c r="Y56" s="78"/>
      <c r="Z56" s="78"/>
      <c r="AA56" s="78"/>
      <c r="AB56" s="116"/>
      <c r="AC56" s="114"/>
      <c r="AD56" s="76"/>
      <c r="AE56" s="77"/>
      <c r="AF56" s="76"/>
      <c r="AG56" s="76"/>
      <c r="AH56" s="77"/>
      <c r="AI56" s="76"/>
      <c r="AJ56" s="76"/>
      <c r="AK56" s="77"/>
      <c r="AL56" s="76"/>
      <c r="AM56" s="76"/>
      <c r="AN56" s="77"/>
      <c r="AO56" s="76"/>
      <c r="AP56" s="76"/>
      <c r="AQ56" s="77"/>
      <c r="AR56" s="80"/>
      <c r="AS56" s="76"/>
      <c r="AT56" s="77"/>
      <c r="AU56" s="76"/>
      <c r="AV56" s="76"/>
      <c r="AW56" s="77"/>
      <c r="AX56" s="76"/>
      <c r="AY56" s="76"/>
      <c r="AZ56" s="79"/>
      <c r="BA56" s="79"/>
    </row>
    <row r="57" spans="1:53" s="83" customFormat="1" ht="15.65" customHeight="1" outlineLevel="1">
      <c r="A57" s="81"/>
      <c r="B57" s="81"/>
      <c r="C57" s="81"/>
      <c r="D57" s="81"/>
      <c r="E57" s="81"/>
      <c r="F57" s="81"/>
      <c r="G57" s="81"/>
      <c r="H57" s="81"/>
      <c r="I57" s="77"/>
      <c r="J57" s="114"/>
      <c r="K57" s="115"/>
      <c r="L57" s="81"/>
      <c r="M57" s="81"/>
      <c r="N57" s="113"/>
      <c r="O57" s="81"/>
      <c r="P57" s="81"/>
      <c r="Q57" s="81"/>
      <c r="R57" s="78"/>
      <c r="S57" s="78"/>
      <c r="T57" s="81"/>
      <c r="U57" s="78"/>
      <c r="V57" s="78"/>
      <c r="W57" s="78"/>
      <c r="X57" s="78"/>
      <c r="Y57" s="78"/>
      <c r="Z57" s="78"/>
      <c r="AA57" s="78"/>
      <c r="AB57" s="116"/>
      <c r="AC57" s="114"/>
      <c r="AD57" s="76"/>
      <c r="AE57" s="77"/>
      <c r="AF57" s="76"/>
      <c r="AG57" s="76"/>
      <c r="AH57" s="77"/>
      <c r="AI57" s="76"/>
      <c r="AJ57" s="76"/>
      <c r="AK57" s="77"/>
      <c r="AL57" s="76"/>
      <c r="AM57" s="76"/>
      <c r="AN57" s="77"/>
      <c r="AO57" s="76"/>
      <c r="AP57" s="76"/>
      <c r="AQ57" s="77"/>
      <c r="AR57" s="80"/>
      <c r="AS57" s="76"/>
      <c r="AT57" s="77"/>
      <c r="AU57" s="76"/>
      <c r="AV57" s="76"/>
      <c r="AW57" s="77"/>
      <c r="AX57" s="76"/>
      <c r="AY57" s="76"/>
      <c r="AZ57" s="79"/>
      <c r="BA57" s="79"/>
    </row>
    <row r="58" spans="1:53" s="83" customFormat="1">
      <c r="A58" s="81"/>
      <c r="B58" s="81"/>
      <c r="C58" s="81"/>
      <c r="D58" s="81"/>
      <c r="E58" s="81"/>
      <c r="F58" s="81"/>
      <c r="G58" s="81"/>
      <c r="H58" s="81"/>
      <c r="I58" s="77"/>
      <c r="J58" s="114"/>
      <c r="K58" s="115"/>
      <c r="L58" s="81"/>
      <c r="M58" s="81"/>
      <c r="N58" s="113"/>
      <c r="O58" s="81"/>
      <c r="P58" s="81"/>
      <c r="Q58" s="81"/>
      <c r="R58" s="78"/>
      <c r="S58" s="78"/>
      <c r="T58" s="81"/>
      <c r="U58" s="78"/>
      <c r="V58" s="78"/>
      <c r="W58" s="78"/>
      <c r="X58" s="78"/>
      <c r="Y58" s="78"/>
      <c r="Z58" s="78"/>
      <c r="AA58" s="78"/>
      <c r="AB58" s="116"/>
      <c r="AC58" s="114"/>
      <c r="AD58" s="76"/>
      <c r="AE58" s="77"/>
      <c r="AF58" s="76"/>
      <c r="AG58" s="76"/>
      <c r="AH58" s="77"/>
      <c r="AI58" s="76"/>
      <c r="AJ58" s="76"/>
      <c r="AK58" s="77"/>
      <c r="AL58" s="76"/>
      <c r="AM58" s="76"/>
      <c r="AN58" s="77"/>
      <c r="AO58" s="76"/>
      <c r="AP58" s="76"/>
      <c r="AQ58" s="77"/>
      <c r="AR58" s="80"/>
      <c r="AS58" s="76"/>
      <c r="AT58" s="77"/>
      <c r="AU58" s="76"/>
      <c r="AV58" s="76"/>
      <c r="AW58" s="77"/>
      <c r="AX58" s="76"/>
      <c r="AY58" s="76"/>
      <c r="AZ58" s="79"/>
      <c r="BA58" s="79"/>
    </row>
    <row r="59" spans="1:53" s="83" customFormat="1" ht="16.5" customHeight="1" outlineLevel="1">
      <c r="A59" s="81"/>
      <c r="B59" s="81"/>
      <c r="C59" s="81"/>
      <c r="D59" s="81"/>
      <c r="E59" s="81"/>
      <c r="F59" s="81"/>
      <c r="G59" s="81"/>
      <c r="H59" s="81"/>
      <c r="I59" s="77"/>
      <c r="J59" s="114"/>
      <c r="K59" s="115"/>
      <c r="L59" s="81"/>
      <c r="M59" s="81"/>
      <c r="N59" s="113"/>
      <c r="O59" s="81"/>
      <c r="P59" s="81"/>
      <c r="Q59" s="81"/>
      <c r="R59" s="78"/>
      <c r="S59" s="78"/>
      <c r="T59" s="81"/>
      <c r="U59" s="78"/>
      <c r="V59" s="78"/>
      <c r="W59" s="78"/>
      <c r="X59" s="78"/>
      <c r="Y59" s="78"/>
      <c r="Z59" s="78"/>
      <c r="AA59" s="78"/>
      <c r="AB59" s="116"/>
      <c r="AC59" s="114"/>
      <c r="AD59" s="76"/>
      <c r="AE59" s="77"/>
      <c r="AF59" s="76"/>
      <c r="AG59" s="76"/>
      <c r="AH59" s="77"/>
      <c r="AI59" s="76"/>
      <c r="AJ59" s="76"/>
      <c r="AK59" s="77"/>
      <c r="AL59" s="76"/>
      <c r="AM59" s="76"/>
      <c r="AN59" s="77"/>
      <c r="AO59" s="76"/>
      <c r="AP59" s="76"/>
      <c r="AQ59" s="77"/>
      <c r="AR59" s="80"/>
      <c r="AS59" s="76"/>
      <c r="AT59" s="77"/>
      <c r="AU59" s="76"/>
      <c r="AV59" s="76"/>
      <c r="AW59" s="77"/>
      <c r="AX59" s="76"/>
      <c r="AY59" s="76"/>
      <c r="AZ59" s="79"/>
      <c r="BA59" s="79"/>
    </row>
    <row r="60" spans="1:53" s="83" customFormat="1" ht="16.5" customHeight="1" outlineLevel="1">
      <c r="A60" s="81"/>
      <c r="B60" s="81"/>
      <c r="C60" s="81"/>
      <c r="D60" s="81"/>
      <c r="E60" s="81"/>
      <c r="F60" s="81"/>
      <c r="G60" s="81"/>
      <c r="H60" s="81"/>
      <c r="I60" s="77"/>
      <c r="J60" s="114"/>
      <c r="K60" s="115"/>
      <c r="L60" s="81"/>
      <c r="M60" s="81"/>
      <c r="N60" s="113"/>
      <c r="O60" s="81"/>
      <c r="P60" s="81"/>
      <c r="Q60" s="81"/>
      <c r="R60" s="78"/>
      <c r="S60" s="78"/>
      <c r="T60" s="81"/>
      <c r="U60" s="78"/>
      <c r="V60" s="78"/>
      <c r="W60" s="78"/>
      <c r="X60" s="78"/>
      <c r="Y60" s="78"/>
      <c r="Z60" s="78"/>
      <c r="AA60" s="78"/>
      <c r="AB60" s="116"/>
      <c r="AC60" s="114"/>
      <c r="AD60" s="76"/>
      <c r="AE60" s="77"/>
      <c r="AF60" s="76"/>
      <c r="AG60" s="76"/>
      <c r="AH60" s="77"/>
      <c r="AI60" s="76"/>
      <c r="AJ60" s="76"/>
      <c r="AK60" s="77"/>
      <c r="AL60" s="76"/>
      <c r="AM60" s="76"/>
      <c r="AN60" s="77"/>
      <c r="AO60" s="76"/>
      <c r="AP60" s="76"/>
      <c r="AQ60" s="77"/>
      <c r="AR60" s="80"/>
      <c r="AS60" s="76"/>
      <c r="AT60" s="77"/>
      <c r="AU60" s="76"/>
      <c r="AV60" s="76"/>
      <c r="AW60" s="77"/>
      <c r="AX60" s="76"/>
      <c r="AY60" s="76"/>
      <c r="AZ60" s="79"/>
      <c r="BA60" s="79"/>
    </row>
    <row r="61" spans="1:53" s="83" customFormat="1" ht="16.5" customHeight="1" outlineLevel="1">
      <c r="A61" s="81"/>
      <c r="B61" s="81"/>
      <c r="C61" s="81"/>
      <c r="D61" s="81"/>
      <c r="E61" s="81"/>
      <c r="F61" s="81"/>
      <c r="G61" s="81"/>
      <c r="H61" s="81"/>
      <c r="I61" s="77"/>
      <c r="J61" s="114"/>
      <c r="K61" s="115"/>
      <c r="L61" s="81"/>
      <c r="M61" s="81"/>
      <c r="N61" s="113"/>
      <c r="O61" s="81"/>
      <c r="P61" s="81"/>
      <c r="Q61" s="81"/>
      <c r="R61" s="78"/>
      <c r="S61" s="78"/>
      <c r="T61" s="81"/>
      <c r="U61" s="78"/>
      <c r="V61" s="78"/>
      <c r="W61" s="78"/>
      <c r="X61" s="78"/>
      <c r="Y61" s="78"/>
      <c r="Z61" s="78"/>
      <c r="AA61" s="78"/>
      <c r="AB61" s="116"/>
      <c r="AC61" s="114"/>
      <c r="AD61" s="76"/>
      <c r="AE61" s="77"/>
      <c r="AF61" s="76"/>
      <c r="AG61" s="76"/>
      <c r="AH61" s="77"/>
      <c r="AI61" s="76"/>
      <c r="AJ61" s="76"/>
      <c r="AK61" s="77"/>
      <c r="AL61" s="76"/>
      <c r="AM61" s="76"/>
      <c r="AN61" s="77"/>
      <c r="AO61" s="76"/>
      <c r="AP61" s="76"/>
      <c r="AQ61" s="77"/>
      <c r="AR61" s="80"/>
      <c r="AS61" s="76"/>
      <c r="AT61" s="77"/>
      <c r="AU61" s="76"/>
      <c r="AV61" s="76"/>
      <c r="AW61" s="77"/>
      <c r="AX61" s="76"/>
      <c r="AY61" s="76"/>
      <c r="AZ61" s="79"/>
      <c r="BA61" s="79"/>
    </row>
    <row r="62" spans="1:53" s="83" customFormat="1" ht="16.5" customHeight="1" outlineLevel="1">
      <c r="A62" s="81"/>
      <c r="B62" s="81"/>
      <c r="C62" s="81"/>
      <c r="D62" s="81"/>
      <c r="E62" s="81"/>
      <c r="F62" s="81"/>
      <c r="G62" s="81"/>
      <c r="H62" s="81"/>
      <c r="I62" s="77"/>
      <c r="J62" s="114"/>
      <c r="K62" s="115"/>
      <c r="L62" s="81"/>
      <c r="M62" s="81"/>
      <c r="N62" s="113"/>
      <c r="O62" s="81"/>
      <c r="P62" s="81"/>
      <c r="Q62" s="81"/>
      <c r="R62" s="78"/>
      <c r="S62" s="78"/>
      <c r="T62" s="81"/>
      <c r="U62" s="78"/>
      <c r="V62" s="78"/>
      <c r="W62" s="78"/>
      <c r="X62" s="78"/>
      <c r="Y62" s="78"/>
      <c r="Z62" s="78"/>
      <c r="AA62" s="78"/>
      <c r="AB62" s="116"/>
      <c r="AC62" s="114"/>
      <c r="AD62" s="76"/>
      <c r="AE62" s="77"/>
      <c r="AF62" s="76"/>
      <c r="AG62" s="76"/>
      <c r="AH62" s="77"/>
      <c r="AI62" s="76"/>
      <c r="AJ62" s="76"/>
      <c r="AK62" s="77"/>
      <c r="AL62" s="76"/>
      <c r="AM62" s="76"/>
      <c r="AN62" s="77"/>
      <c r="AO62" s="76"/>
      <c r="AP62" s="76"/>
      <c r="AQ62" s="77"/>
      <c r="AR62" s="80"/>
      <c r="AS62" s="76"/>
      <c r="AT62" s="77"/>
      <c r="AU62" s="76"/>
      <c r="AV62" s="76"/>
      <c r="AW62" s="77"/>
      <c r="AX62" s="76"/>
      <c r="AY62" s="76"/>
      <c r="AZ62" s="79"/>
      <c r="BA62" s="79"/>
    </row>
    <row r="63" spans="1:53" s="83" customFormat="1" ht="16.5" customHeight="1" outlineLevel="1">
      <c r="A63" s="81"/>
      <c r="B63" s="81"/>
      <c r="C63" s="81"/>
      <c r="D63" s="81"/>
      <c r="E63" s="81"/>
      <c r="F63" s="81"/>
      <c r="G63" s="81"/>
      <c r="H63" s="81"/>
      <c r="I63" s="77"/>
      <c r="J63" s="114"/>
      <c r="K63" s="115"/>
      <c r="L63" s="81"/>
      <c r="M63" s="81"/>
      <c r="N63" s="113"/>
      <c r="O63" s="81"/>
      <c r="P63" s="81"/>
      <c r="Q63" s="81"/>
      <c r="R63" s="78"/>
      <c r="S63" s="78"/>
      <c r="T63" s="81"/>
      <c r="U63" s="78"/>
      <c r="V63" s="78"/>
      <c r="W63" s="78"/>
      <c r="X63" s="78"/>
      <c r="Y63" s="78"/>
      <c r="Z63" s="78"/>
      <c r="AA63" s="78"/>
      <c r="AB63" s="116"/>
      <c r="AC63" s="114"/>
      <c r="AD63" s="76"/>
      <c r="AE63" s="77"/>
      <c r="AF63" s="76"/>
      <c r="AG63" s="76"/>
      <c r="AH63" s="77"/>
      <c r="AI63" s="76"/>
      <c r="AJ63" s="76"/>
      <c r="AK63" s="77"/>
      <c r="AL63" s="76"/>
      <c r="AM63" s="76"/>
      <c r="AN63" s="77"/>
      <c r="AO63" s="76"/>
      <c r="AP63" s="76"/>
      <c r="AQ63" s="77"/>
      <c r="AR63" s="80"/>
      <c r="AS63" s="76"/>
      <c r="AT63" s="77"/>
      <c r="AU63" s="76"/>
      <c r="AV63" s="76"/>
      <c r="AW63" s="77"/>
      <c r="AX63" s="76"/>
      <c r="AY63" s="76"/>
      <c r="AZ63" s="79"/>
      <c r="BA63" s="79"/>
    </row>
    <row r="64" spans="1:53" s="83" customFormat="1" ht="16.5" customHeight="1" outlineLevel="1">
      <c r="A64" s="81"/>
      <c r="B64" s="81"/>
      <c r="C64" s="81"/>
      <c r="D64" s="81"/>
      <c r="E64" s="81"/>
      <c r="F64" s="81"/>
      <c r="G64" s="81"/>
      <c r="H64" s="81"/>
      <c r="I64" s="77"/>
      <c r="J64" s="114"/>
      <c r="K64" s="115"/>
      <c r="L64" s="81"/>
      <c r="M64" s="81"/>
      <c r="N64" s="113"/>
      <c r="O64" s="81"/>
      <c r="P64" s="81"/>
      <c r="Q64" s="81"/>
      <c r="R64" s="78"/>
      <c r="S64" s="78"/>
      <c r="T64" s="81"/>
      <c r="U64" s="78"/>
      <c r="V64" s="78"/>
      <c r="W64" s="78"/>
      <c r="X64" s="78"/>
      <c r="Y64" s="78"/>
      <c r="Z64" s="78"/>
      <c r="AA64" s="78"/>
      <c r="AB64" s="116"/>
      <c r="AC64" s="114"/>
      <c r="AD64" s="76"/>
      <c r="AE64" s="77"/>
      <c r="AF64" s="76"/>
      <c r="AG64" s="76"/>
      <c r="AH64" s="77"/>
      <c r="AI64" s="76"/>
      <c r="AJ64" s="76"/>
      <c r="AK64" s="77"/>
      <c r="AL64" s="76"/>
      <c r="AM64" s="76"/>
      <c r="AN64" s="77"/>
      <c r="AO64" s="76"/>
      <c r="AP64" s="76"/>
      <c r="AQ64" s="77"/>
      <c r="AR64" s="80"/>
      <c r="AS64" s="76"/>
      <c r="AT64" s="77"/>
      <c r="AU64" s="76"/>
      <c r="AV64" s="76"/>
      <c r="AW64" s="77"/>
      <c r="AX64" s="76"/>
      <c r="AY64" s="76"/>
      <c r="AZ64" s="79"/>
      <c r="BA64" s="79"/>
    </row>
    <row r="65" spans="1:53" s="83" customFormat="1" ht="16.5" customHeight="1" outlineLevel="1">
      <c r="A65" s="81"/>
      <c r="B65" s="81"/>
      <c r="C65" s="81"/>
      <c r="D65" s="81"/>
      <c r="E65" s="81"/>
      <c r="F65" s="81"/>
      <c r="G65" s="81"/>
      <c r="H65" s="81"/>
      <c r="I65" s="77"/>
      <c r="J65" s="114"/>
      <c r="K65" s="115"/>
      <c r="L65" s="81"/>
      <c r="M65" s="81"/>
      <c r="N65" s="113"/>
      <c r="O65" s="81"/>
      <c r="P65" s="81"/>
      <c r="Q65" s="81"/>
      <c r="R65" s="78"/>
      <c r="S65" s="78"/>
      <c r="T65" s="81"/>
      <c r="U65" s="78"/>
      <c r="V65" s="78"/>
      <c r="W65" s="78"/>
      <c r="X65" s="78"/>
      <c r="Y65" s="78"/>
      <c r="Z65" s="78"/>
      <c r="AA65" s="78"/>
      <c r="AB65" s="116"/>
      <c r="AC65" s="114"/>
      <c r="AD65" s="76"/>
      <c r="AE65" s="77"/>
      <c r="AF65" s="76"/>
      <c r="AG65" s="76"/>
      <c r="AH65" s="77"/>
      <c r="AI65" s="76"/>
      <c r="AJ65" s="76"/>
      <c r="AK65" s="77"/>
      <c r="AL65" s="76"/>
      <c r="AM65" s="76"/>
      <c r="AN65" s="77"/>
      <c r="AO65" s="76"/>
      <c r="AP65" s="76"/>
      <c r="AQ65" s="77"/>
      <c r="AR65" s="80"/>
      <c r="AS65" s="76"/>
      <c r="AT65" s="77"/>
      <c r="AU65" s="76"/>
      <c r="AV65" s="76"/>
      <c r="AW65" s="77"/>
      <c r="AX65" s="76"/>
      <c r="AY65" s="76"/>
      <c r="AZ65" s="79"/>
      <c r="BA65" s="79"/>
    </row>
    <row r="66" spans="1:53" s="83" customFormat="1" ht="16.5" customHeight="1" outlineLevel="1">
      <c r="A66" s="81"/>
      <c r="B66" s="81"/>
      <c r="C66" s="81"/>
      <c r="D66" s="81"/>
      <c r="E66" s="81"/>
      <c r="F66" s="81"/>
      <c r="G66" s="81"/>
      <c r="H66" s="81"/>
      <c r="I66" s="77"/>
      <c r="J66" s="114"/>
      <c r="K66" s="115"/>
      <c r="L66" s="81"/>
      <c r="M66" s="81"/>
      <c r="N66" s="113"/>
      <c r="O66" s="81"/>
      <c r="P66" s="81"/>
      <c r="Q66" s="81"/>
      <c r="R66" s="78"/>
      <c r="S66" s="78"/>
      <c r="T66" s="81"/>
      <c r="U66" s="78"/>
      <c r="V66" s="78"/>
      <c r="W66" s="78"/>
      <c r="X66" s="78"/>
      <c r="Y66" s="78"/>
      <c r="Z66" s="78"/>
      <c r="AA66" s="78"/>
      <c r="AB66" s="116"/>
      <c r="AC66" s="114"/>
      <c r="AD66" s="76"/>
      <c r="AE66" s="77"/>
      <c r="AF66" s="76"/>
      <c r="AG66" s="76"/>
      <c r="AH66" s="77"/>
      <c r="AI66" s="76"/>
      <c r="AJ66" s="76"/>
      <c r="AK66" s="77"/>
      <c r="AL66" s="76"/>
      <c r="AM66" s="76"/>
      <c r="AN66" s="77"/>
      <c r="AO66" s="76"/>
      <c r="AP66" s="76"/>
      <c r="AQ66" s="77"/>
      <c r="AR66" s="80"/>
      <c r="AS66" s="76"/>
      <c r="AT66" s="77"/>
      <c r="AU66" s="76"/>
      <c r="AV66" s="76"/>
      <c r="AW66" s="77"/>
      <c r="AX66" s="76"/>
      <c r="AY66" s="76"/>
      <c r="AZ66" s="79"/>
      <c r="BA66" s="79"/>
    </row>
    <row r="67" spans="1:53" s="83" customFormat="1" ht="16.5" customHeight="1" outlineLevel="1">
      <c r="A67" s="81"/>
      <c r="B67" s="81"/>
      <c r="C67" s="81"/>
      <c r="D67" s="81"/>
      <c r="E67" s="81"/>
      <c r="F67" s="81"/>
      <c r="G67" s="81"/>
      <c r="H67" s="81"/>
      <c r="I67" s="77"/>
      <c r="J67" s="114"/>
      <c r="K67" s="115"/>
      <c r="L67" s="81"/>
      <c r="M67" s="81"/>
      <c r="N67" s="113"/>
      <c r="O67" s="81"/>
      <c r="P67" s="81"/>
      <c r="Q67" s="81"/>
      <c r="R67" s="78"/>
      <c r="S67" s="78"/>
      <c r="T67" s="81"/>
      <c r="U67" s="78"/>
      <c r="V67" s="78"/>
      <c r="W67" s="78"/>
      <c r="X67" s="78"/>
      <c r="Y67" s="78"/>
      <c r="Z67" s="78"/>
      <c r="AA67" s="78"/>
      <c r="AB67" s="116"/>
      <c r="AC67" s="114"/>
      <c r="AD67" s="76"/>
      <c r="AE67" s="77"/>
      <c r="AF67" s="76"/>
      <c r="AG67" s="76"/>
      <c r="AH67" s="77"/>
      <c r="AI67" s="76"/>
      <c r="AJ67" s="76"/>
      <c r="AK67" s="77"/>
      <c r="AL67" s="76"/>
      <c r="AM67" s="76"/>
      <c r="AN67" s="77"/>
      <c r="AO67" s="76"/>
      <c r="AP67" s="76"/>
      <c r="AQ67" s="77"/>
      <c r="AR67" s="80"/>
      <c r="AS67" s="76"/>
      <c r="AT67" s="77"/>
      <c r="AU67" s="76"/>
      <c r="AV67" s="76"/>
      <c r="AW67" s="77"/>
      <c r="AX67" s="76"/>
      <c r="AY67" s="76"/>
      <c r="AZ67" s="79"/>
      <c r="BA67" s="79"/>
    </row>
    <row r="68" spans="1:53" s="83" customFormat="1" ht="16.5" customHeight="1" outlineLevel="1">
      <c r="A68" s="81"/>
      <c r="B68" s="81"/>
      <c r="C68" s="81"/>
      <c r="D68" s="81"/>
      <c r="E68" s="81"/>
      <c r="F68" s="81"/>
      <c r="G68" s="81"/>
      <c r="H68" s="81"/>
      <c r="I68" s="77"/>
      <c r="J68" s="114"/>
      <c r="K68" s="115"/>
      <c r="L68" s="81"/>
      <c r="M68" s="81"/>
      <c r="N68" s="113"/>
      <c r="O68" s="81"/>
      <c r="P68" s="81"/>
      <c r="Q68" s="81"/>
      <c r="R68" s="78"/>
      <c r="S68" s="78"/>
      <c r="T68" s="81"/>
      <c r="U68" s="78"/>
      <c r="V68" s="78"/>
      <c r="W68" s="78"/>
      <c r="X68" s="78"/>
      <c r="Y68" s="78"/>
      <c r="Z68" s="78"/>
      <c r="AA68" s="78"/>
      <c r="AB68" s="116"/>
      <c r="AC68" s="114"/>
      <c r="AD68" s="76"/>
      <c r="AE68" s="77"/>
      <c r="AF68" s="76"/>
      <c r="AG68" s="76"/>
      <c r="AH68" s="77"/>
      <c r="AI68" s="76"/>
      <c r="AJ68" s="76"/>
      <c r="AK68" s="77"/>
      <c r="AL68" s="76"/>
      <c r="AM68" s="76"/>
      <c r="AN68" s="77"/>
      <c r="AO68" s="76"/>
      <c r="AP68" s="76"/>
      <c r="AQ68" s="77"/>
      <c r="AR68" s="80"/>
      <c r="AS68" s="76"/>
      <c r="AT68" s="77"/>
      <c r="AU68" s="76"/>
      <c r="AV68" s="76"/>
      <c r="AW68" s="77"/>
      <c r="AX68" s="76"/>
      <c r="AY68" s="76"/>
      <c r="AZ68" s="79"/>
      <c r="BA68" s="79"/>
    </row>
    <row r="69" spans="1:53" s="83" customFormat="1" ht="15.65" customHeight="1" outlineLevel="1">
      <c r="A69" s="81"/>
      <c r="B69" s="81"/>
      <c r="C69" s="81"/>
      <c r="D69" s="81"/>
      <c r="E69" s="81"/>
      <c r="F69" s="81"/>
      <c r="G69" s="81"/>
      <c r="H69" s="81"/>
      <c r="I69" s="77"/>
      <c r="J69" s="114"/>
      <c r="K69" s="115"/>
      <c r="L69" s="81"/>
      <c r="M69" s="81"/>
      <c r="N69" s="113"/>
      <c r="O69" s="81"/>
      <c r="P69" s="81"/>
      <c r="Q69" s="81"/>
      <c r="R69" s="78"/>
      <c r="S69" s="78"/>
      <c r="T69" s="81"/>
      <c r="U69" s="78"/>
      <c r="V69" s="78"/>
      <c r="W69" s="78"/>
      <c r="X69" s="78"/>
      <c r="Y69" s="78"/>
      <c r="Z69" s="78"/>
      <c r="AA69" s="78"/>
      <c r="AB69" s="116"/>
      <c r="AC69" s="114"/>
      <c r="AD69" s="76"/>
      <c r="AE69" s="77"/>
      <c r="AF69" s="76"/>
      <c r="AG69" s="76"/>
      <c r="AH69" s="77"/>
      <c r="AI69" s="76"/>
      <c r="AJ69" s="76"/>
      <c r="AK69" s="77"/>
      <c r="AL69" s="76"/>
      <c r="AM69" s="76"/>
      <c r="AN69" s="77"/>
      <c r="AO69" s="76"/>
      <c r="AP69" s="76"/>
      <c r="AQ69" s="77"/>
      <c r="AR69" s="80"/>
      <c r="AS69" s="76"/>
      <c r="AT69" s="77"/>
      <c r="AU69" s="76"/>
      <c r="AV69" s="76"/>
      <c r="AW69" s="77"/>
      <c r="AX69" s="76"/>
      <c r="AY69" s="76"/>
      <c r="AZ69" s="79"/>
      <c r="BA69" s="79"/>
    </row>
    <row r="70" spans="1:53" s="83" customFormat="1" ht="15.65" customHeight="1" outlineLevel="1">
      <c r="A70" s="81"/>
      <c r="B70" s="81"/>
      <c r="C70" s="81"/>
      <c r="D70" s="81"/>
      <c r="E70" s="81"/>
      <c r="F70" s="81"/>
      <c r="G70" s="81"/>
      <c r="H70" s="81"/>
      <c r="I70" s="77"/>
      <c r="J70" s="114"/>
      <c r="K70" s="115"/>
      <c r="L70" s="81"/>
      <c r="M70" s="81"/>
      <c r="N70" s="113"/>
      <c r="O70" s="81"/>
      <c r="P70" s="81"/>
      <c r="Q70" s="81"/>
      <c r="R70" s="78"/>
      <c r="S70" s="78"/>
      <c r="T70" s="81"/>
      <c r="U70" s="78"/>
      <c r="V70" s="78"/>
      <c r="W70" s="78"/>
      <c r="X70" s="78"/>
      <c r="Y70" s="78"/>
      <c r="Z70" s="78"/>
      <c r="AA70" s="78"/>
      <c r="AB70" s="116"/>
      <c r="AC70" s="114"/>
      <c r="AD70" s="76"/>
      <c r="AE70" s="77"/>
      <c r="AF70" s="76"/>
      <c r="AG70" s="76"/>
      <c r="AH70" s="77"/>
      <c r="AI70" s="76"/>
      <c r="AJ70" s="76"/>
      <c r="AK70" s="77"/>
      <c r="AL70" s="76"/>
      <c r="AM70" s="76"/>
      <c r="AN70" s="77"/>
      <c r="AO70" s="76"/>
      <c r="AP70" s="76"/>
      <c r="AQ70" s="77"/>
      <c r="AR70" s="80"/>
      <c r="AS70" s="76"/>
      <c r="AT70" s="77"/>
      <c r="AU70" s="76"/>
      <c r="AV70" s="76"/>
      <c r="AW70" s="77"/>
      <c r="AX70" s="76"/>
      <c r="AY70" s="76"/>
      <c r="AZ70" s="79"/>
      <c r="BA70" s="79"/>
    </row>
    <row r="71" spans="1:53" s="83" customFormat="1">
      <c r="A71" s="81"/>
      <c r="B71" s="81"/>
      <c r="C71" s="81"/>
      <c r="D71" s="81"/>
      <c r="E71" s="81"/>
      <c r="F71" s="81"/>
      <c r="G71" s="81"/>
      <c r="H71" s="81"/>
      <c r="I71" s="77"/>
      <c r="J71" s="114"/>
      <c r="K71" s="115"/>
      <c r="L71" s="81"/>
      <c r="M71" s="81"/>
      <c r="N71" s="113"/>
      <c r="O71" s="81"/>
      <c r="P71" s="81"/>
      <c r="Q71" s="81"/>
      <c r="R71" s="78"/>
      <c r="S71" s="78"/>
      <c r="T71" s="81"/>
      <c r="U71" s="78"/>
      <c r="V71" s="78"/>
      <c r="W71" s="78"/>
      <c r="X71" s="78"/>
      <c r="Y71" s="78"/>
      <c r="Z71" s="78"/>
      <c r="AA71" s="78"/>
      <c r="AB71" s="116"/>
      <c r="AC71" s="114"/>
      <c r="AD71" s="76"/>
      <c r="AE71" s="77"/>
      <c r="AF71" s="76"/>
      <c r="AG71" s="76"/>
      <c r="AH71" s="77"/>
      <c r="AI71" s="76"/>
      <c r="AJ71" s="76"/>
      <c r="AK71" s="77"/>
      <c r="AL71" s="76"/>
      <c r="AM71" s="76"/>
      <c r="AN71" s="77"/>
      <c r="AO71" s="76"/>
      <c r="AP71" s="76"/>
      <c r="AQ71" s="77"/>
      <c r="AR71" s="80"/>
      <c r="AS71" s="76"/>
      <c r="AT71" s="77"/>
      <c r="AU71" s="76"/>
      <c r="AV71" s="76"/>
      <c r="AW71" s="77"/>
      <c r="AX71" s="76"/>
      <c r="AY71" s="76"/>
      <c r="AZ71" s="79"/>
      <c r="BA71" s="79"/>
    </row>
    <row r="72" spans="1:53" s="83" customFormat="1" ht="16.2" customHeight="1" outlineLevel="1">
      <c r="A72" s="81"/>
      <c r="B72" s="81"/>
      <c r="C72" s="81"/>
      <c r="D72" s="81"/>
      <c r="E72" s="81"/>
      <c r="F72" s="81"/>
      <c r="G72" s="81"/>
      <c r="H72" s="81"/>
      <c r="I72" s="77"/>
      <c r="J72" s="114"/>
      <c r="K72" s="115"/>
      <c r="L72" s="81"/>
      <c r="M72" s="81"/>
      <c r="N72" s="113"/>
      <c r="O72" s="81"/>
      <c r="P72" s="81"/>
      <c r="Q72" s="81"/>
      <c r="R72" s="78"/>
      <c r="S72" s="78"/>
      <c r="T72" s="81"/>
      <c r="U72" s="78"/>
      <c r="V72" s="78"/>
      <c r="W72" s="78"/>
      <c r="X72" s="78"/>
      <c r="Y72" s="78"/>
      <c r="Z72" s="78"/>
      <c r="AA72" s="78"/>
      <c r="AB72" s="116"/>
      <c r="AC72" s="114"/>
      <c r="AD72" s="76"/>
      <c r="AE72" s="77"/>
      <c r="AF72" s="76"/>
      <c r="AG72" s="76"/>
      <c r="AH72" s="77"/>
      <c r="AI72" s="76"/>
      <c r="AJ72" s="76"/>
      <c r="AK72" s="77"/>
      <c r="AL72" s="76"/>
      <c r="AM72" s="76"/>
      <c r="AN72" s="77"/>
      <c r="AO72" s="76"/>
      <c r="AP72" s="76"/>
      <c r="AQ72" s="77"/>
      <c r="AR72" s="80"/>
      <c r="AS72" s="76"/>
      <c r="AT72" s="77"/>
      <c r="AU72" s="76"/>
      <c r="AV72" s="76"/>
      <c r="AW72" s="77"/>
      <c r="AX72" s="76"/>
      <c r="AY72" s="76"/>
      <c r="AZ72" s="79"/>
      <c r="BA72" s="79"/>
    </row>
    <row r="73" spans="1:53" s="83" customFormat="1" ht="16.2" customHeight="1" outlineLevel="1">
      <c r="A73" s="81"/>
      <c r="B73" s="81"/>
      <c r="C73" s="81"/>
      <c r="D73" s="81"/>
      <c r="E73" s="81"/>
      <c r="F73" s="81"/>
      <c r="G73" s="81"/>
      <c r="H73" s="81"/>
      <c r="I73" s="77"/>
      <c r="J73" s="114"/>
      <c r="K73" s="115"/>
      <c r="L73" s="81"/>
      <c r="M73" s="81"/>
      <c r="N73" s="113"/>
      <c r="O73" s="81"/>
      <c r="P73" s="81"/>
      <c r="Q73" s="81"/>
      <c r="R73" s="78"/>
      <c r="S73" s="78"/>
      <c r="T73" s="81"/>
      <c r="U73" s="78"/>
      <c r="V73" s="78"/>
      <c r="W73" s="78"/>
      <c r="X73" s="78"/>
      <c r="Y73" s="78"/>
      <c r="Z73" s="78"/>
      <c r="AA73" s="78"/>
      <c r="AB73" s="116"/>
      <c r="AC73" s="114"/>
      <c r="AD73" s="76"/>
      <c r="AE73" s="77"/>
      <c r="AF73" s="76"/>
      <c r="AG73" s="76"/>
      <c r="AH73" s="77"/>
      <c r="AI73" s="76"/>
      <c r="AJ73" s="76"/>
      <c r="AK73" s="77"/>
      <c r="AL73" s="76"/>
      <c r="AM73" s="76"/>
      <c r="AN73" s="77"/>
      <c r="AO73" s="76"/>
      <c r="AP73" s="76"/>
      <c r="AQ73" s="77"/>
      <c r="AR73" s="80"/>
      <c r="AS73" s="76"/>
      <c r="AT73" s="77"/>
      <c r="AU73" s="76"/>
      <c r="AV73" s="76"/>
      <c r="AW73" s="77"/>
      <c r="AX73" s="76"/>
      <c r="AY73" s="76"/>
      <c r="AZ73" s="79"/>
      <c r="BA73" s="79"/>
    </row>
    <row r="74" spans="1:53" s="83" customFormat="1" ht="16.2" customHeight="1" outlineLevel="1">
      <c r="A74" s="81"/>
      <c r="B74" s="81"/>
      <c r="C74" s="81"/>
      <c r="D74" s="81"/>
      <c r="E74" s="81"/>
      <c r="F74" s="81"/>
      <c r="G74" s="81"/>
      <c r="H74" s="81"/>
      <c r="I74" s="77"/>
      <c r="J74" s="114"/>
      <c r="K74" s="115"/>
      <c r="L74" s="81"/>
      <c r="M74" s="81"/>
      <c r="N74" s="113"/>
      <c r="O74" s="81"/>
      <c r="P74" s="81"/>
      <c r="Q74" s="81"/>
      <c r="R74" s="78"/>
      <c r="S74" s="78"/>
      <c r="T74" s="81"/>
      <c r="U74" s="78"/>
      <c r="V74" s="78"/>
      <c r="W74" s="78"/>
      <c r="X74" s="78"/>
      <c r="Y74" s="78"/>
      <c r="Z74" s="78"/>
      <c r="AA74" s="78"/>
      <c r="AB74" s="116"/>
      <c r="AC74" s="114"/>
      <c r="AD74" s="76"/>
      <c r="AE74" s="77"/>
      <c r="AF74" s="76"/>
      <c r="AG74" s="76"/>
      <c r="AH74" s="77"/>
      <c r="AI74" s="76"/>
      <c r="AJ74" s="76"/>
      <c r="AK74" s="77"/>
      <c r="AL74" s="76"/>
      <c r="AM74" s="76"/>
      <c r="AN74" s="77"/>
      <c r="AO74" s="76"/>
      <c r="AP74" s="76"/>
      <c r="AQ74" s="77"/>
      <c r="AR74" s="80"/>
      <c r="AS74" s="76"/>
      <c r="AT74" s="77"/>
      <c r="AU74" s="76"/>
      <c r="AV74" s="76"/>
      <c r="AW74" s="77"/>
      <c r="AX74" s="76"/>
      <c r="AY74" s="76"/>
      <c r="AZ74" s="79"/>
      <c r="BA74" s="79"/>
    </row>
    <row r="75" spans="1:53" s="83" customFormat="1" ht="16.2" customHeight="1" outlineLevel="1">
      <c r="A75" s="81"/>
      <c r="B75" s="81"/>
      <c r="C75" s="81"/>
      <c r="D75" s="81"/>
      <c r="E75" s="81"/>
      <c r="F75" s="81"/>
      <c r="G75" s="81"/>
      <c r="H75" s="81"/>
      <c r="I75" s="77"/>
      <c r="J75" s="114"/>
      <c r="K75" s="115"/>
      <c r="L75" s="81"/>
      <c r="M75" s="81"/>
      <c r="N75" s="113"/>
      <c r="O75" s="81"/>
      <c r="P75" s="81"/>
      <c r="Q75" s="81"/>
      <c r="R75" s="78"/>
      <c r="S75" s="78"/>
      <c r="T75" s="81"/>
      <c r="U75" s="78"/>
      <c r="V75" s="78"/>
      <c r="W75" s="78"/>
      <c r="X75" s="78"/>
      <c r="Y75" s="78"/>
      <c r="Z75" s="78"/>
      <c r="AA75" s="78"/>
      <c r="AB75" s="116"/>
      <c r="AC75" s="114"/>
      <c r="AD75" s="76"/>
      <c r="AE75" s="77"/>
      <c r="AF75" s="76"/>
      <c r="AG75" s="76"/>
      <c r="AH75" s="77"/>
      <c r="AI75" s="76"/>
      <c r="AJ75" s="76"/>
      <c r="AK75" s="77"/>
      <c r="AL75" s="76"/>
      <c r="AM75" s="76"/>
      <c r="AN75" s="77"/>
      <c r="AO75" s="76"/>
      <c r="AP75" s="76"/>
      <c r="AQ75" s="77"/>
      <c r="AR75" s="80"/>
      <c r="AS75" s="76"/>
      <c r="AT75" s="77"/>
      <c r="AU75" s="76"/>
      <c r="AV75" s="76"/>
      <c r="AW75" s="77"/>
      <c r="AX75" s="76"/>
      <c r="AY75" s="76"/>
      <c r="AZ75" s="79"/>
      <c r="BA75" s="79"/>
    </row>
    <row r="76" spans="1:53" s="83" customFormat="1" ht="16.2" customHeight="1" outlineLevel="1">
      <c r="A76" s="81"/>
      <c r="B76" s="81"/>
      <c r="C76" s="81"/>
      <c r="D76" s="81"/>
      <c r="E76" s="81"/>
      <c r="F76" s="81"/>
      <c r="G76" s="81"/>
      <c r="H76" s="81"/>
      <c r="I76" s="77"/>
      <c r="J76" s="114"/>
      <c r="K76" s="115"/>
      <c r="L76" s="81"/>
      <c r="M76" s="81"/>
      <c r="N76" s="113"/>
      <c r="O76" s="81"/>
      <c r="P76" s="81"/>
      <c r="Q76" s="81"/>
      <c r="R76" s="78"/>
      <c r="S76" s="78"/>
      <c r="T76" s="81"/>
      <c r="U76" s="78"/>
      <c r="V76" s="78"/>
      <c r="W76" s="78"/>
      <c r="X76" s="78"/>
      <c r="Y76" s="78"/>
      <c r="Z76" s="78"/>
      <c r="AA76" s="78"/>
      <c r="AB76" s="116"/>
      <c r="AC76" s="114"/>
      <c r="AD76" s="76"/>
      <c r="AE76" s="77"/>
      <c r="AF76" s="76"/>
      <c r="AG76" s="76"/>
      <c r="AH76" s="77"/>
      <c r="AI76" s="76"/>
      <c r="AJ76" s="76"/>
      <c r="AK76" s="77"/>
      <c r="AL76" s="76"/>
      <c r="AM76" s="76"/>
      <c r="AN76" s="77"/>
      <c r="AO76" s="76"/>
      <c r="AP76" s="76"/>
      <c r="AQ76" s="77"/>
      <c r="AR76" s="80"/>
      <c r="AS76" s="76"/>
      <c r="AT76" s="77"/>
      <c r="AU76" s="76"/>
      <c r="AV76" s="76"/>
      <c r="AW76" s="77"/>
      <c r="AX76" s="76"/>
      <c r="AY76" s="76"/>
      <c r="AZ76" s="79"/>
      <c r="BA76" s="79"/>
    </row>
    <row r="77" spans="1:53" s="83" customFormat="1" ht="16.2" customHeight="1" outlineLevel="1">
      <c r="A77" s="81"/>
      <c r="B77" s="81"/>
      <c r="C77" s="81"/>
      <c r="D77" s="81"/>
      <c r="E77" s="81"/>
      <c r="F77" s="81"/>
      <c r="G77" s="81"/>
      <c r="H77" s="81"/>
      <c r="I77" s="77"/>
      <c r="J77" s="114"/>
      <c r="K77" s="115"/>
      <c r="L77" s="81"/>
      <c r="M77" s="81"/>
      <c r="N77" s="113"/>
      <c r="O77" s="81"/>
      <c r="P77" s="81"/>
      <c r="Q77" s="81"/>
      <c r="R77" s="78"/>
      <c r="S77" s="78"/>
      <c r="T77" s="81"/>
      <c r="U77" s="78"/>
      <c r="V77" s="78"/>
      <c r="W77" s="78"/>
      <c r="X77" s="78"/>
      <c r="Y77" s="78"/>
      <c r="Z77" s="78"/>
      <c r="AA77" s="78"/>
      <c r="AB77" s="116"/>
      <c r="AC77" s="114"/>
      <c r="AD77" s="76"/>
      <c r="AE77" s="77"/>
      <c r="AF77" s="76"/>
      <c r="AG77" s="76"/>
      <c r="AH77" s="77"/>
      <c r="AI77" s="76"/>
      <c r="AJ77" s="76"/>
      <c r="AK77" s="77"/>
      <c r="AL77" s="76"/>
      <c r="AM77" s="76"/>
      <c r="AN77" s="77"/>
      <c r="AO77" s="76"/>
      <c r="AP77" s="76"/>
      <c r="AQ77" s="77"/>
      <c r="AR77" s="80"/>
      <c r="AS77" s="76"/>
      <c r="AT77" s="77"/>
      <c r="AU77" s="76"/>
      <c r="AV77" s="76"/>
      <c r="AW77" s="77"/>
      <c r="AX77" s="76"/>
      <c r="AY77" s="76"/>
      <c r="AZ77" s="79"/>
      <c r="BA77" s="79"/>
    </row>
    <row r="78" spans="1:53" s="83" customFormat="1" ht="16.2" customHeight="1" outlineLevel="1">
      <c r="A78" s="81"/>
      <c r="B78" s="81"/>
      <c r="C78" s="81"/>
      <c r="D78" s="81"/>
      <c r="E78" s="81"/>
      <c r="F78" s="81"/>
      <c r="G78" s="81"/>
      <c r="H78" s="81"/>
      <c r="I78" s="77"/>
      <c r="J78" s="114"/>
      <c r="K78" s="115"/>
      <c r="L78" s="81"/>
      <c r="M78" s="81"/>
      <c r="N78" s="113"/>
      <c r="O78" s="81"/>
      <c r="P78" s="81"/>
      <c r="Q78" s="81"/>
      <c r="R78" s="78"/>
      <c r="S78" s="78"/>
      <c r="T78" s="81"/>
      <c r="U78" s="78"/>
      <c r="V78" s="78"/>
      <c r="W78" s="78"/>
      <c r="X78" s="78"/>
      <c r="Y78" s="78"/>
      <c r="Z78" s="78"/>
      <c r="AA78" s="78"/>
      <c r="AB78" s="116"/>
      <c r="AC78" s="114"/>
      <c r="AD78" s="76"/>
      <c r="AE78" s="77"/>
      <c r="AF78" s="76"/>
      <c r="AG78" s="76"/>
      <c r="AH78" s="77"/>
      <c r="AI78" s="76"/>
      <c r="AJ78" s="76"/>
      <c r="AK78" s="77"/>
      <c r="AL78" s="76"/>
      <c r="AM78" s="76"/>
      <c r="AN78" s="77"/>
      <c r="AO78" s="76"/>
      <c r="AP78" s="76"/>
      <c r="AQ78" s="77"/>
      <c r="AR78" s="80"/>
      <c r="AS78" s="76"/>
      <c r="AT78" s="77"/>
      <c r="AU78" s="76"/>
      <c r="AV78" s="76"/>
      <c r="AW78" s="77"/>
      <c r="AX78" s="76"/>
      <c r="AY78" s="76"/>
      <c r="AZ78" s="79"/>
      <c r="BA78" s="79"/>
    </row>
    <row r="79" spans="1:53" s="83" customFormat="1" ht="16.2" customHeight="1" outlineLevel="1">
      <c r="A79" s="81"/>
      <c r="B79" s="81"/>
      <c r="C79" s="81"/>
      <c r="D79" s="81"/>
      <c r="E79" s="81"/>
      <c r="F79" s="81"/>
      <c r="G79" s="81"/>
      <c r="H79" s="81"/>
      <c r="I79" s="77"/>
      <c r="J79" s="114"/>
      <c r="K79" s="115"/>
      <c r="L79" s="81"/>
      <c r="M79" s="81"/>
      <c r="N79" s="113"/>
      <c r="O79" s="81"/>
      <c r="P79" s="81"/>
      <c r="Q79" s="81"/>
      <c r="R79" s="78"/>
      <c r="S79" s="78"/>
      <c r="T79" s="81"/>
      <c r="U79" s="78"/>
      <c r="V79" s="78"/>
      <c r="W79" s="78"/>
      <c r="X79" s="78"/>
      <c r="Y79" s="78"/>
      <c r="Z79" s="78"/>
      <c r="AA79" s="78"/>
      <c r="AB79" s="116"/>
      <c r="AC79" s="114"/>
      <c r="AD79" s="76"/>
      <c r="AE79" s="77"/>
      <c r="AF79" s="76"/>
      <c r="AG79" s="76"/>
      <c r="AH79" s="77"/>
      <c r="AI79" s="76"/>
      <c r="AJ79" s="76"/>
      <c r="AK79" s="77"/>
      <c r="AL79" s="76"/>
      <c r="AM79" s="76"/>
      <c r="AN79" s="77"/>
      <c r="AO79" s="76"/>
      <c r="AP79" s="76"/>
      <c r="AQ79" s="77"/>
      <c r="AR79" s="80"/>
      <c r="AS79" s="76"/>
      <c r="AT79" s="77"/>
      <c r="AU79" s="76"/>
      <c r="AV79" s="76"/>
      <c r="AW79" s="77"/>
      <c r="AX79" s="76"/>
      <c r="AY79" s="76"/>
      <c r="AZ79" s="79"/>
      <c r="BA79" s="79"/>
    </row>
    <row r="80" spans="1:53" s="83" customFormat="1" ht="16.2" customHeight="1" outlineLevel="1">
      <c r="A80" s="81"/>
      <c r="B80" s="81"/>
      <c r="C80" s="81"/>
      <c r="D80" s="81"/>
      <c r="E80" s="81"/>
      <c r="F80" s="81"/>
      <c r="G80" s="81"/>
      <c r="H80" s="81"/>
      <c r="I80" s="77"/>
      <c r="J80" s="114"/>
      <c r="K80" s="115"/>
      <c r="L80" s="81"/>
      <c r="M80" s="81"/>
      <c r="N80" s="113"/>
      <c r="O80" s="81"/>
      <c r="P80" s="81"/>
      <c r="Q80" s="81"/>
      <c r="R80" s="78"/>
      <c r="S80" s="78"/>
      <c r="T80" s="81"/>
      <c r="U80" s="78"/>
      <c r="V80" s="78"/>
      <c r="W80" s="78"/>
      <c r="X80" s="78"/>
      <c r="Y80" s="78"/>
      <c r="Z80" s="78"/>
      <c r="AA80" s="78"/>
      <c r="AB80" s="116"/>
      <c r="AC80" s="114"/>
      <c r="AD80" s="76"/>
      <c r="AE80" s="77"/>
      <c r="AF80" s="76"/>
      <c r="AG80" s="76"/>
      <c r="AH80" s="77"/>
      <c r="AI80" s="76"/>
      <c r="AJ80" s="76"/>
      <c r="AK80" s="77"/>
      <c r="AL80" s="76"/>
      <c r="AM80" s="76"/>
      <c r="AN80" s="77"/>
      <c r="AO80" s="76"/>
      <c r="AP80" s="76"/>
      <c r="AQ80" s="77"/>
      <c r="AR80" s="80"/>
      <c r="AS80" s="76"/>
      <c r="AT80" s="77"/>
      <c r="AU80" s="76"/>
      <c r="AV80" s="76"/>
      <c r="AW80" s="77"/>
      <c r="AX80" s="76"/>
      <c r="AY80" s="76"/>
      <c r="AZ80" s="79"/>
      <c r="BA80" s="79"/>
    </row>
    <row r="81" spans="1:53" s="83" customFormat="1" ht="16.2" customHeight="1" outlineLevel="1">
      <c r="A81" s="81"/>
      <c r="B81" s="81"/>
      <c r="C81" s="81"/>
      <c r="D81" s="81"/>
      <c r="E81" s="81"/>
      <c r="F81" s="81"/>
      <c r="G81" s="81"/>
      <c r="H81" s="81"/>
      <c r="I81" s="77"/>
      <c r="J81" s="114"/>
      <c r="K81" s="115"/>
      <c r="L81" s="81"/>
      <c r="M81" s="81"/>
      <c r="N81" s="113"/>
      <c r="O81" s="81"/>
      <c r="P81" s="81"/>
      <c r="Q81" s="81"/>
      <c r="R81" s="78"/>
      <c r="S81" s="78"/>
      <c r="T81" s="81"/>
      <c r="U81" s="78"/>
      <c r="V81" s="78"/>
      <c r="W81" s="78"/>
      <c r="X81" s="78"/>
      <c r="Y81" s="78"/>
      <c r="Z81" s="78"/>
      <c r="AA81" s="78"/>
      <c r="AB81" s="116"/>
      <c r="AC81" s="114"/>
      <c r="AD81" s="76"/>
      <c r="AE81" s="77"/>
      <c r="AF81" s="76"/>
      <c r="AG81" s="76"/>
      <c r="AH81" s="77"/>
      <c r="AI81" s="76"/>
      <c r="AJ81" s="76"/>
      <c r="AK81" s="77"/>
      <c r="AL81" s="76"/>
      <c r="AM81" s="76"/>
      <c r="AN81" s="77"/>
      <c r="AO81" s="76"/>
      <c r="AP81" s="76"/>
      <c r="AQ81" s="77"/>
      <c r="AR81" s="80"/>
      <c r="AS81" s="76"/>
      <c r="AT81" s="77"/>
      <c r="AU81" s="76"/>
      <c r="AV81" s="76"/>
      <c r="AW81" s="77"/>
      <c r="AX81" s="76"/>
      <c r="AY81" s="76"/>
      <c r="AZ81" s="79"/>
      <c r="BA81" s="79"/>
    </row>
    <row r="82" spans="1:53" s="83" customFormat="1" ht="16.2" customHeight="1" outlineLevel="1">
      <c r="A82" s="81"/>
      <c r="B82" s="81"/>
      <c r="C82" s="81"/>
      <c r="D82" s="81"/>
      <c r="E82" s="81"/>
      <c r="F82" s="81"/>
      <c r="G82" s="81"/>
      <c r="H82" s="81"/>
      <c r="I82" s="77"/>
      <c r="J82" s="114"/>
      <c r="K82" s="115"/>
      <c r="L82" s="81"/>
      <c r="M82" s="81"/>
      <c r="N82" s="113"/>
      <c r="O82" s="81"/>
      <c r="P82" s="81"/>
      <c r="Q82" s="81"/>
      <c r="R82" s="78"/>
      <c r="S82" s="78"/>
      <c r="T82" s="81"/>
      <c r="U82" s="78"/>
      <c r="V82" s="78"/>
      <c r="W82" s="78"/>
      <c r="X82" s="78"/>
      <c r="Y82" s="78"/>
      <c r="Z82" s="78"/>
      <c r="AA82" s="78"/>
      <c r="AB82" s="116"/>
      <c r="AC82" s="114"/>
      <c r="AD82" s="76"/>
      <c r="AE82" s="77"/>
      <c r="AF82" s="76"/>
      <c r="AG82" s="76"/>
      <c r="AH82" s="77"/>
      <c r="AI82" s="76"/>
      <c r="AJ82" s="76"/>
      <c r="AK82" s="77"/>
      <c r="AL82" s="76"/>
      <c r="AM82" s="76"/>
      <c r="AN82" s="77"/>
      <c r="AO82" s="76"/>
      <c r="AP82" s="76"/>
      <c r="AQ82" s="77"/>
      <c r="AR82" s="80"/>
      <c r="AS82" s="76"/>
      <c r="AT82" s="77"/>
      <c r="AU82" s="76"/>
      <c r="AV82" s="76"/>
      <c r="AW82" s="77"/>
      <c r="AX82" s="76"/>
      <c r="AY82" s="76"/>
      <c r="AZ82" s="79"/>
      <c r="BA82" s="79"/>
    </row>
    <row r="83" spans="1:53" s="83" customFormat="1" ht="16.2" customHeight="1" outlineLevel="1">
      <c r="A83" s="81"/>
      <c r="B83" s="81"/>
      <c r="C83" s="81"/>
      <c r="D83" s="81"/>
      <c r="E83" s="81"/>
      <c r="F83" s="81"/>
      <c r="G83" s="81"/>
      <c r="H83" s="81"/>
      <c r="I83" s="77"/>
      <c r="J83" s="114"/>
      <c r="K83" s="115"/>
      <c r="L83" s="81"/>
      <c r="M83" s="81"/>
      <c r="N83" s="113"/>
      <c r="O83" s="81"/>
      <c r="P83" s="81"/>
      <c r="Q83" s="81"/>
      <c r="R83" s="78"/>
      <c r="S83" s="78"/>
      <c r="T83" s="81"/>
      <c r="U83" s="78"/>
      <c r="V83" s="78"/>
      <c r="W83" s="78"/>
      <c r="X83" s="78"/>
      <c r="Y83" s="78"/>
      <c r="Z83" s="78"/>
      <c r="AA83" s="78"/>
      <c r="AB83" s="116"/>
      <c r="AC83" s="114"/>
      <c r="AD83" s="76"/>
      <c r="AE83" s="77"/>
      <c r="AF83" s="76"/>
      <c r="AG83" s="76"/>
      <c r="AH83" s="77"/>
      <c r="AI83" s="76"/>
      <c r="AJ83" s="76"/>
      <c r="AK83" s="77"/>
      <c r="AL83" s="76"/>
      <c r="AM83" s="76"/>
      <c r="AN83" s="77"/>
      <c r="AO83" s="76"/>
      <c r="AP83" s="76"/>
      <c r="AQ83" s="77"/>
      <c r="AR83" s="80"/>
      <c r="AS83" s="76"/>
      <c r="AT83" s="77"/>
      <c r="AU83" s="76"/>
      <c r="AV83" s="76"/>
      <c r="AW83" s="77"/>
      <c r="AX83" s="76"/>
      <c r="AY83" s="76"/>
      <c r="AZ83" s="79"/>
      <c r="BA83" s="79"/>
    </row>
    <row r="84" spans="1:53" s="83" customFormat="1" ht="16.2" customHeight="1" outlineLevel="1">
      <c r="A84" s="81"/>
      <c r="B84" s="81"/>
      <c r="C84" s="81"/>
      <c r="D84" s="81"/>
      <c r="E84" s="81"/>
      <c r="F84" s="81"/>
      <c r="G84" s="81"/>
      <c r="H84" s="81"/>
      <c r="I84" s="77"/>
      <c r="J84" s="114"/>
      <c r="K84" s="115"/>
      <c r="L84" s="81"/>
      <c r="M84" s="81"/>
      <c r="N84" s="113"/>
      <c r="O84" s="81"/>
      <c r="P84" s="81"/>
      <c r="Q84" s="81"/>
      <c r="R84" s="78"/>
      <c r="S84" s="78"/>
      <c r="T84" s="81"/>
      <c r="U84" s="78"/>
      <c r="V84" s="78"/>
      <c r="W84" s="78"/>
      <c r="X84" s="78"/>
      <c r="Y84" s="78"/>
      <c r="Z84" s="78"/>
      <c r="AA84" s="78"/>
      <c r="AB84" s="116"/>
      <c r="AC84" s="114"/>
      <c r="AD84" s="76"/>
      <c r="AE84" s="77"/>
      <c r="AF84" s="76"/>
      <c r="AG84" s="76"/>
      <c r="AH84" s="77"/>
      <c r="AI84" s="76"/>
      <c r="AJ84" s="76"/>
      <c r="AK84" s="77"/>
      <c r="AL84" s="76"/>
      <c r="AM84" s="76"/>
      <c r="AN84" s="77"/>
      <c r="AO84" s="76"/>
      <c r="AP84" s="76"/>
      <c r="AQ84" s="77"/>
      <c r="AR84" s="80"/>
      <c r="AS84" s="76"/>
      <c r="AT84" s="77"/>
      <c r="AU84" s="76"/>
      <c r="AV84" s="76"/>
      <c r="AW84" s="77"/>
      <c r="AX84" s="76"/>
      <c r="AY84" s="76"/>
      <c r="AZ84" s="79"/>
      <c r="BA84" s="79"/>
    </row>
    <row r="85" spans="1:53" s="83" customFormat="1" ht="16.2" customHeight="1" outlineLevel="1">
      <c r="A85" s="81"/>
      <c r="B85" s="81"/>
      <c r="C85" s="81"/>
      <c r="D85" s="81"/>
      <c r="E85" s="81"/>
      <c r="F85" s="81"/>
      <c r="G85" s="81"/>
      <c r="H85" s="81"/>
      <c r="I85" s="77"/>
      <c r="J85" s="114"/>
      <c r="K85" s="115"/>
      <c r="L85" s="81"/>
      <c r="M85" s="81"/>
      <c r="N85" s="113"/>
      <c r="O85" s="81"/>
      <c r="P85" s="81"/>
      <c r="Q85" s="81"/>
      <c r="R85" s="78"/>
      <c r="S85" s="78"/>
      <c r="T85" s="81"/>
      <c r="U85" s="78"/>
      <c r="V85" s="78"/>
      <c r="W85" s="78"/>
      <c r="X85" s="78"/>
      <c r="Y85" s="78"/>
      <c r="Z85" s="78"/>
      <c r="AA85" s="78"/>
      <c r="AB85" s="116"/>
      <c r="AC85" s="114"/>
      <c r="AD85" s="76"/>
      <c r="AE85" s="77"/>
      <c r="AF85" s="76"/>
      <c r="AG85" s="76"/>
      <c r="AH85" s="77"/>
      <c r="AI85" s="76"/>
      <c r="AJ85" s="76"/>
      <c r="AK85" s="77"/>
      <c r="AL85" s="76"/>
      <c r="AM85" s="76"/>
      <c r="AN85" s="77"/>
      <c r="AO85" s="76"/>
      <c r="AP85" s="76"/>
      <c r="AQ85" s="77"/>
      <c r="AR85" s="80"/>
      <c r="AS85" s="76"/>
      <c r="AT85" s="77"/>
      <c r="AU85" s="76"/>
      <c r="AV85" s="76"/>
      <c r="AW85" s="77"/>
      <c r="AX85" s="76"/>
      <c r="AY85" s="76"/>
      <c r="AZ85" s="79"/>
      <c r="BA85" s="79"/>
    </row>
    <row r="86" spans="1:53" s="83" customFormat="1">
      <c r="A86" s="81"/>
      <c r="B86" s="81"/>
      <c r="C86" s="81"/>
      <c r="D86" s="81"/>
      <c r="E86" s="81"/>
      <c r="F86" s="81"/>
      <c r="G86" s="81"/>
      <c r="H86" s="81"/>
      <c r="I86" s="77"/>
      <c r="J86" s="114"/>
      <c r="K86" s="115"/>
      <c r="L86" s="81"/>
      <c r="M86" s="81"/>
      <c r="N86" s="113"/>
      <c r="O86" s="81"/>
      <c r="P86" s="81"/>
      <c r="Q86" s="81"/>
      <c r="R86" s="78"/>
      <c r="S86" s="78"/>
      <c r="T86" s="81"/>
      <c r="U86" s="78"/>
      <c r="V86" s="78"/>
      <c r="W86" s="78"/>
      <c r="X86" s="78"/>
      <c r="Y86" s="78"/>
      <c r="Z86" s="78"/>
      <c r="AA86" s="78"/>
      <c r="AB86" s="116"/>
      <c r="AC86" s="114"/>
      <c r="AD86" s="76"/>
      <c r="AE86" s="77"/>
      <c r="AF86" s="76"/>
      <c r="AG86" s="76"/>
      <c r="AH86" s="77"/>
      <c r="AI86" s="76"/>
      <c r="AJ86" s="76"/>
      <c r="AK86" s="77"/>
      <c r="AL86" s="76"/>
      <c r="AM86" s="76"/>
      <c r="AN86" s="77"/>
      <c r="AO86" s="76"/>
      <c r="AP86" s="76"/>
      <c r="AQ86" s="77"/>
      <c r="AR86" s="80"/>
      <c r="AS86" s="76"/>
      <c r="AT86" s="77"/>
      <c r="AU86" s="76"/>
      <c r="AV86" s="76"/>
      <c r="AW86" s="77"/>
      <c r="AX86" s="76"/>
      <c r="AY86" s="76"/>
      <c r="AZ86" s="79"/>
      <c r="BA86" s="79"/>
    </row>
    <row r="87" spans="1:53" s="83" customFormat="1" ht="16.2" customHeight="1" outlineLevel="1">
      <c r="A87" s="81"/>
      <c r="B87" s="81"/>
      <c r="C87" s="81"/>
      <c r="D87" s="81"/>
      <c r="E87" s="81"/>
      <c r="F87" s="81"/>
      <c r="G87" s="81"/>
      <c r="H87" s="81"/>
      <c r="I87" s="77"/>
      <c r="J87" s="114"/>
      <c r="K87" s="115"/>
      <c r="L87" s="81"/>
      <c r="M87" s="81"/>
      <c r="N87" s="113"/>
      <c r="O87" s="81"/>
      <c r="P87" s="81"/>
      <c r="Q87" s="81"/>
      <c r="R87" s="78"/>
      <c r="S87" s="78"/>
      <c r="T87" s="81"/>
      <c r="U87" s="78"/>
      <c r="V87" s="78"/>
      <c r="W87" s="78"/>
      <c r="X87" s="78"/>
      <c r="Y87" s="78"/>
      <c r="Z87" s="78"/>
      <c r="AA87" s="78"/>
      <c r="AB87" s="116"/>
      <c r="AC87" s="114"/>
      <c r="AD87" s="76"/>
      <c r="AE87" s="77"/>
      <c r="AF87" s="76"/>
      <c r="AG87" s="76"/>
      <c r="AH87" s="77"/>
      <c r="AI87" s="76"/>
      <c r="AJ87" s="76"/>
      <c r="AK87" s="77"/>
      <c r="AL87" s="76"/>
      <c r="AM87" s="76"/>
      <c r="AN87" s="77"/>
      <c r="AO87" s="76"/>
      <c r="AP87" s="76"/>
      <c r="AQ87" s="77"/>
      <c r="AR87" s="80"/>
      <c r="AS87" s="76"/>
      <c r="AT87" s="77"/>
      <c r="AU87" s="76"/>
      <c r="AV87" s="76"/>
      <c r="AW87" s="77"/>
      <c r="AX87" s="76"/>
      <c r="AY87" s="76"/>
      <c r="AZ87" s="79"/>
      <c r="BA87" s="79"/>
    </row>
    <row r="88" spans="1:53" s="83" customFormat="1" ht="16.2" customHeight="1" outlineLevel="1">
      <c r="A88" s="81"/>
      <c r="B88" s="81"/>
      <c r="C88" s="81"/>
      <c r="D88" s="81"/>
      <c r="E88" s="81"/>
      <c r="F88" s="81"/>
      <c r="G88" s="81"/>
      <c r="H88" s="81"/>
      <c r="I88" s="77"/>
      <c r="J88" s="114"/>
      <c r="K88" s="115"/>
      <c r="L88" s="81"/>
      <c r="M88" s="81"/>
      <c r="N88" s="113"/>
      <c r="O88" s="81"/>
      <c r="P88" s="81"/>
      <c r="Q88" s="81"/>
      <c r="R88" s="78"/>
      <c r="S88" s="78"/>
      <c r="T88" s="81"/>
      <c r="U88" s="78"/>
      <c r="V88" s="78"/>
      <c r="W88" s="78"/>
      <c r="X88" s="78"/>
      <c r="Y88" s="78"/>
      <c r="Z88" s="78"/>
      <c r="AA88" s="78"/>
      <c r="AB88" s="116"/>
      <c r="AC88" s="114"/>
      <c r="AD88" s="76"/>
      <c r="AE88" s="77"/>
      <c r="AF88" s="76"/>
      <c r="AG88" s="76"/>
      <c r="AH88" s="77"/>
      <c r="AI88" s="76"/>
      <c r="AJ88" s="76"/>
      <c r="AK88" s="77"/>
      <c r="AL88" s="76"/>
      <c r="AM88" s="76"/>
      <c r="AN88" s="77"/>
      <c r="AO88" s="76"/>
      <c r="AP88" s="76"/>
      <c r="AQ88" s="77"/>
      <c r="AR88" s="80"/>
      <c r="AS88" s="76"/>
      <c r="AT88" s="77"/>
      <c r="AU88" s="76"/>
      <c r="AV88" s="76"/>
      <c r="AW88" s="77"/>
      <c r="AX88" s="76"/>
      <c r="AY88" s="76"/>
      <c r="AZ88" s="79"/>
      <c r="BA88" s="79"/>
    </row>
    <row r="89" spans="1:53" s="83" customFormat="1" ht="16.2" customHeight="1" outlineLevel="1">
      <c r="A89" s="81"/>
      <c r="B89" s="81"/>
      <c r="C89" s="81"/>
      <c r="D89" s="81"/>
      <c r="E89" s="81"/>
      <c r="F89" s="81"/>
      <c r="G89" s="81"/>
      <c r="H89" s="81"/>
      <c r="I89" s="77"/>
      <c r="J89" s="114"/>
      <c r="K89" s="115"/>
      <c r="L89" s="81"/>
      <c r="M89" s="81"/>
      <c r="N89" s="113"/>
      <c r="O89" s="81"/>
      <c r="P89" s="81"/>
      <c r="Q89" s="81"/>
      <c r="R89" s="78"/>
      <c r="S89" s="78"/>
      <c r="T89" s="81"/>
      <c r="U89" s="78"/>
      <c r="V89" s="78"/>
      <c r="W89" s="78"/>
      <c r="X89" s="78"/>
      <c r="Y89" s="78"/>
      <c r="Z89" s="78"/>
      <c r="AA89" s="78"/>
      <c r="AB89" s="116"/>
      <c r="AC89" s="114"/>
      <c r="AD89" s="76"/>
      <c r="AE89" s="77"/>
      <c r="AF89" s="76"/>
      <c r="AG89" s="76"/>
      <c r="AH89" s="77"/>
      <c r="AI89" s="76"/>
      <c r="AJ89" s="76"/>
      <c r="AK89" s="77"/>
      <c r="AL89" s="76"/>
      <c r="AM89" s="76"/>
      <c r="AN89" s="77"/>
      <c r="AO89" s="76"/>
      <c r="AP89" s="76"/>
      <c r="AQ89" s="77"/>
      <c r="AR89" s="80"/>
      <c r="AS89" s="76"/>
      <c r="AT89" s="77"/>
      <c r="AU89" s="76"/>
      <c r="AV89" s="76"/>
      <c r="AW89" s="77"/>
      <c r="AX89" s="76"/>
      <c r="AY89" s="76"/>
      <c r="AZ89" s="79"/>
      <c r="BA89" s="79"/>
    </row>
    <row r="90" spans="1:53" s="83" customFormat="1" ht="16.2" customHeight="1" outlineLevel="1">
      <c r="A90" s="81"/>
      <c r="B90" s="81"/>
      <c r="C90" s="81"/>
      <c r="D90" s="81"/>
      <c r="E90" s="81"/>
      <c r="F90" s="81"/>
      <c r="G90" s="81"/>
      <c r="H90" s="81"/>
      <c r="I90" s="77"/>
      <c r="J90" s="114"/>
      <c r="K90" s="115"/>
      <c r="L90" s="81"/>
      <c r="M90" s="81"/>
      <c r="N90" s="113"/>
      <c r="O90" s="81"/>
      <c r="P90" s="81"/>
      <c r="Q90" s="81"/>
      <c r="R90" s="78"/>
      <c r="S90" s="78"/>
      <c r="T90" s="81"/>
      <c r="U90" s="78"/>
      <c r="V90" s="78"/>
      <c r="W90" s="78"/>
      <c r="X90" s="78"/>
      <c r="Y90" s="78"/>
      <c r="Z90" s="78"/>
      <c r="AA90" s="78"/>
      <c r="AB90" s="116"/>
      <c r="AC90" s="114"/>
      <c r="AD90" s="76"/>
      <c r="AE90" s="77"/>
      <c r="AF90" s="76"/>
      <c r="AG90" s="76"/>
      <c r="AH90" s="77"/>
      <c r="AI90" s="76"/>
      <c r="AJ90" s="76"/>
      <c r="AK90" s="77"/>
      <c r="AL90" s="76"/>
      <c r="AM90" s="76"/>
      <c r="AN90" s="77"/>
      <c r="AO90" s="76"/>
      <c r="AP90" s="76"/>
      <c r="AQ90" s="77"/>
      <c r="AR90" s="80"/>
      <c r="AS90" s="76"/>
      <c r="AT90" s="77"/>
      <c r="AU90" s="76"/>
      <c r="AV90" s="76"/>
      <c r="AW90" s="77"/>
      <c r="AX90" s="76"/>
      <c r="AY90" s="76"/>
      <c r="AZ90" s="79"/>
      <c r="BA90" s="79"/>
    </row>
    <row r="91" spans="1:53" s="83" customFormat="1" ht="16.2" customHeight="1" outlineLevel="1">
      <c r="A91" s="81"/>
      <c r="B91" s="81"/>
      <c r="C91" s="81"/>
      <c r="D91" s="81"/>
      <c r="E91" s="81"/>
      <c r="F91" s="81"/>
      <c r="G91" s="81"/>
      <c r="H91" s="81"/>
      <c r="I91" s="77"/>
      <c r="J91" s="114"/>
      <c r="K91" s="115"/>
      <c r="L91" s="81"/>
      <c r="M91" s="81"/>
      <c r="N91" s="113"/>
      <c r="O91" s="81"/>
      <c r="P91" s="81"/>
      <c r="Q91" s="81"/>
      <c r="R91" s="78"/>
      <c r="S91" s="78"/>
      <c r="T91" s="81"/>
      <c r="U91" s="78"/>
      <c r="V91" s="78"/>
      <c r="W91" s="78"/>
      <c r="X91" s="78"/>
      <c r="Y91" s="78"/>
      <c r="Z91" s="78"/>
      <c r="AA91" s="78"/>
      <c r="AB91" s="116"/>
      <c r="AC91" s="114"/>
      <c r="AD91" s="76"/>
      <c r="AE91" s="77"/>
      <c r="AF91" s="76"/>
      <c r="AG91" s="76"/>
      <c r="AH91" s="77"/>
      <c r="AI91" s="76"/>
      <c r="AJ91" s="76"/>
      <c r="AK91" s="77"/>
      <c r="AL91" s="76"/>
      <c r="AM91" s="76"/>
      <c r="AN91" s="77"/>
      <c r="AO91" s="76"/>
      <c r="AP91" s="76"/>
      <c r="AQ91" s="77"/>
      <c r="AR91" s="80"/>
      <c r="AS91" s="76"/>
      <c r="AT91" s="77"/>
      <c r="AU91" s="76"/>
      <c r="AV91" s="76"/>
      <c r="AW91" s="77"/>
      <c r="AX91" s="76"/>
      <c r="AY91" s="76"/>
      <c r="AZ91" s="79"/>
      <c r="BA91" s="79"/>
    </row>
    <row r="92" spans="1:53" s="83" customFormat="1" ht="16.2" customHeight="1" outlineLevel="1">
      <c r="A92" s="81"/>
      <c r="B92" s="81"/>
      <c r="C92" s="81"/>
      <c r="D92" s="81"/>
      <c r="E92" s="81"/>
      <c r="F92" s="81"/>
      <c r="G92" s="81"/>
      <c r="H92" s="81"/>
      <c r="I92" s="77"/>
      <c r="J92" s="114"/>
      <c r="K92" s="115"/>
      <c r="L92" s="81"/>
      <c r="M92" s="81"/>
      <c r="N92" s="113"/>
      <c r="O92" s="81"/>
      <c r="P92" s="81"/>
      <c r="Q92" s="81"/>
      <c r="R92" s="78"/>
      <c r="S92" s="78"/>
      <c r="T92" s="81"/>
      <c r="U92" s="78"/>
      <c r="V92" s="78"/>
      <c r="W92" s="78"/>
      <c r="X92" s="78"/>
      <c r="Y92" s="78"/>
      <c r="Z92" s="78"/>
      <c r="AA92" s="78"/>
      <c r="AB92" s="116"/>
      <c r="AC92" s="114"/>
      <c r="AD92" s="76"/>
      <c r="AE92" s="77"/>
      <c r="AF92" s="76"/>
      <c r="AG92" s="76"/>
      <c r="AH92" s="77"/>
      <c r="AI92" s="76"/>
      <c r="AJ92" s="76"/>
      <c r="AK92" s="77"/>
      <c r="AL92" s="76"/>
      <c r="AM92" s="76"/>
      <c r="AN92" s="77"/>
      <c r="AO92" s="76"/>
      <c r="AP92" s="76"/>
      <c r="AQ92" s="77"/>
      <c r="AR92" s="80"/>
      <c r="AS92" s="76"/>
      <c r="AT92" s="77"/>
      <c r="AU92" s="76"/>
      <c r="AV92" s="76"/>
      <c r="AW92" s="77"/>
      <c r="AX92" s="76"/>
      <c r="AY92" s="76"/>
      <c r="AZ92" s="79"/>
      <c r="BA92" s="79"/>
    </row>
    <row r="93" spans="1:53" s="83" customFormat="1" ht="16.2" customHeight="1" outlineLevel="1">
      <c r="A93" s="81"/>
      <c r="B93" s="81"/>
      <c r="C93" s="81"/>
      <c r="D93" s="81"/>
      <c r="E93" s="81"/>
      <c r="F93" s="81"/>
      <c r="G93" s="81"/>
      <c r="H93" s="81"/>
      <c r="I93" s="77"/>
      <c r="J93" s="114"/>
      <c r="K93" s="115"/>
      <c r="L93" s="81"/>
      <c r="M93" s="81"/>
      <c r="N93" s="113"/>
      <c r="O93" s="81"/>
      <c r="P93" s="81"/>
      <c r="Q93" s="81"/>
      <c r="R93" s="78"/>
      <c r="S93" s="78"/>
      <c r="T93" s="81"/>
      <c r="U93" s="78"/>
      <c r="V93" s="78"/>
      <c r="W93" s="78"/>
      <c r="X93" s="78"/>
      <c r="Y93" s="78"/>
      <c r="Z93" s="78"/>
      <c r="AA93" s="78"/>
      <c r="AB93" s="116"/>
      <c r="AC93" s="114"/>
      <c r="AD93" s="76"/>
      <c r="AE93" s="77"/>
      <c r="AF93" s="76"/>
      <c r="AG93" s="76"/>
      <c r="AH93" s="77"/>
      <c r="AI93" s="76"/>
      <c r="AJ93" s="76"/>
      <c r="AK93" s="77"/>
      <c r="AL93" s="76"/>
      <c r="AM93" s="76"/>
      <c r="AN93" s="77"/>
      <c r="AO93" s="76"/>
      <c r="AP93" s="76"/>
      <c r="AQ93" s="77"/>
      <c r="AR93" s="80"/>
      <c r="AS93" s="76"/>
      <c r="AT93" s="77"/>
      <c r="AU93" s="76"/>
      <c r="AV93" s="76"/>
      <c r="AW93" s="77"/>
      <c r="AX93" s="76"/>
      <c r="AY93" s="76"/>
      <c r="AZ93" s="79"/>
      <c r="BA93" s="79"/>
    </row>
    <row r="94" spans="1:53" s="83" customFormat="1" ht="16.2" customHeight="1" outlineLevel="1">
      <c r="A94" s="81"/>
      <c r="B94" s="81"/>
      <c r="C94" s="81"/>
      <c r="D94" s="81"/>
      <c r="E94" s="81"/>
      <c r="F94" s="81"/>
      <c r="G94" s="81"/>
      <c r="H94" s="81"/>
      <c r="I94" s="77"/>
      <c r="J94" s="114"/>
      <c r="K94" s="115"/>
      <c r="L94" s="81"/>
      <c r="M94" s="81"/>
      <c r="N94" s="113"/>
      <c r="O94" s="81"/>
      <c r="P94" s="81"/>
      <c r="Q94" s="81"/>
      <c r="R94" s="78"/>
      <c r="S94" s="78"/>
      <c r="T94" s="81"/>
      <c r="U94" s="78"/>
      <c r="V94" s="78"/>
      <c r="W94" s="78"/>
      <c r="X94" s="78"/>
      <c r="Y94" s="78"/>
      <c r="Z94" s="78"/>
      <c r="AA94" s="78"/>
      <c r="AB94" s="116"/>
      <c r="AC94" s="114"/>
      <c r="AD94" s="76"/>
      <c r="AE94" s="77"/>
      <c r="AF94" s="76"/>
      <c r="AG94" s="76"/>
      <c r="AH94" s="77"/>
      <c r="AI94" s="76"/>
      <c r="AJ94" s="76"/>
      <c r="AK94" s="77"/>
      <c r="AL94" s="76"/>
      <c r="AM94" s="76"/>
      <c r="AN94" s="77"/>
      <c r="AO94" s="76"/>
      <c r="AP94" s="76"/>
      <c r="AQ94" s="77"/>
      <c r="AR94" s="80"/>
      <c r="AS94" s="76"/>
      <c r="AT94" s="77"/>
      <c r="AU94" s="76"/>
      <c r="AV94" s="76"/>
      <c r="AW94" s="77"/>
      <c r="AX94" s="76"/>
      <c r="AY94" s="76"/>
      <c r="AZ94" s="79"/>
      <c r="BA94" s="79"/>
    </row>
    <row r="95" spans="1:53" s="83" customFormat="1" ht="16.2" customHeight="1" outlineLevel="1">
      <c r="A95" s="81"/>
      <c r="B95" s="81"/>
      <c r="C95" s="81"/>
      <c r="D95" s="81"/>
      <c r="E95" s="81"/>
      <c r="F95" s="81"/>
      <c r="G95" s="81"/>
      <c r="H95" s="81"/>
      <c r="I95" s="77"/>
      <c r="J95" s="114"/>
      <c r="K95" s="115"/>
      <c r="L95" s="81"/>
      <c r="M95" s="81"/>
      <c r="N95" s="113"/>
      <c r="O95" s="81"/>
      <c r="P95" s="81"/>
      <c r="Q95" s="81"/>
      <c r="R95" s="78"/>
      <c r="S95" s="78"/>
      <c r="T95" s="81"/>
      <c r="U95" s="78"/>
      <c r="V95" s="78"/>
      <c r="W95" s="78"/>
      <c r="X95" s="78"/>
      <c r="Y95" s="78"/>
      <c r="Z95" s="78"/>
      <c r="AA95" s="78"/>
      <c r="AB95" s="116"/>
      <c r="AC95" s="114"/>
      <c r="AD95" s="76"/>
      <c r="AE95" s="77"/>
      <c r="AF95" s="76"/>
      <c r="AG95" s="76"/>
      <c r="AH95" s="77"/>
      <c r="AI95" s="76"/>
      <c r="AJ95" s="76"/>
      <c r="AK95" s="77"/>
      <c r="AL95" s="76"/>
      <c r="AM95" s="76"/>
      <c r="AN95" s="77"/>
      <c r="AO95" s="76"/>
      <c r="AP95" s="76"/>
      <c r="AQ95" s="77"/>
      <c r="AR95" s="80"/>
      <c r="AS95" s="76"/>
      <c r="AT95" s="77"/>
      <c r="AU95" s="76"/>
      <c r="AV95" s="76"/>
      <c r="AW95" s="77"/>
      <c r="AX95" s="76"/>
      <c r="AY95" s="76"/>
      <c r="AZ95" s="79"/>
      <c r="BA95" s="79"/>
    </row>
    <row r="96" spans="1:53" s="83" customFormat="1" ht="16.2" customHeight="1" outlineLevel="1">
      <c r="A96" s="81"/>
      <c r="B96" s="81"/>
      <c r="C96" s="81"/>
      <c r="D96" s="81"/>
      <c r="E96" s="81"/>
      <c r="F96" s="81"/>
      <c r="G96" s="81"/>
      <c r="H96" s="81"/>
      <c r="I96" s="77"/>
      <c r="J96" s="114"/>
      <c r="K96" s="115"/>
      <c r="L96" s="81"/>
      <c r="M96" s="81"/>
      <c r="N96" s="113"/>
      <c r="O96" s="81"/>
      <c r="P96" s="81"/>
      <c r="Q96" s="81"/>
      <c r="R96" s="78"/>
      <c r="S96" s="78"/>
      <c r="T96" s="81"/>
      <c r="U96" s="78"/>
      <c r="V96" s="78"/>
      <c r="W96" s="78"/>
      <c r="X96" s="78"/>
      <c r="Y96" s="78"/>
      <c r="Z96" s="78"/>
      <c r="AA96" s="78"/>
      <c r="AB96" s="116"/>
      <c r="AC96" s="114"/>
      <c r="AD96" s="76"/>
      <c r="AE96" s="77"/>
      <c r="AF96" s="76"/>
      <c r="AG96" s="76"/>
      <c r="AH96" s="77"/>
      <c r="AI96" s="76"/>
      <c r="AJ96" s="76"/>
      <c r="AK96" s="77"/>
      <c r="AL96" s="76"/>
      <c r="AM96" s="76"/>
      <c r="AN96" s="77"/>
      <c r="AO96" s="76"/>
      <c r="AP96" s="76"/>
      <c r="AQ96" s="77"/>
      <c r="AR96" s="80"/>
      <c r="AS96" s="76"/>
      <c r="AT96" s="77"/>
      <c r="AU96" s="76"/>
      <c r="AV96" s="76"/>
      <c r="AW96" s="77"/>
      <c r="AX96" s="76"/>
      <c r="AY96" s="76"/>
      <c r="AZ96" s="79"/>
      <c r="BA96" s="79"/>
    </row>
    <row r="97" spans="1:53" s="83" customFormat="1" ht="16.2" customHeight="1" outlineLevel="1">
      <c r="A97" s="81"/>
      <c r="B97" s="81"/>
      <c r="C97" s="81"/>
      <c r="D97" s="81"/>
      <c r="E97" s="81"/>
      <c r="F97" s="81"/>
      <c r="G97" s="81"/>
      <c r="H97" s="81"/>
      <c r="I97" s="77"/>
      <c r="J97" s="114"/>
      <c r="K97" s="115"/>
      <c r="L97" s="81"/>
      <c r="M97" s="81"/>
      <c r="N97" s="113"/>
      <c r="O97" s="81"/>
      <c r="P97" s="81"/>
      <c r="Q97" s="81"/>
      <c r="R97" s="78"/>
      <c r="S97" s="78"/>
      <c r="T97" s="81"/>
      <c r="U97" s="78"/>
      <c r="V97" s="78"/>
      <c r="W97" s="78"/>
      <c r="X97" s="78"/>
      <c r="Y97" s="78"/>
      <c r="Z97" s="78"/>
      <c r="AA97" s="78"/>
      <c r="AB97" s="116"/>
      <c r="AC97" s="114"/>
      <c r="AD97" s="76"/>
      <c r="AE97" s="77"/>
      <c r="AF97" s="76"/>
      <c r="AG97" s="76"/>
      <c r="AH97" s="77"/>
      <c r="AI97" s="76"/>
      <c r="AJ97" s="76"/>
      <c r="AK97" s="77"/>
      <c r="AL97" s="76"/>
      <c r="AM97" s="76"/>
      <c r="AN97" s="77"/>
      <c r="AO97" s="76"/>
      <c r="AP97" s="76"/>
      <c r="AQ97" s="77"/>
      <c r="AR97" s="80"/>
      <c r="AS97" s="76"/>
      <c r="AT97" s="77"/>
      <c r="AU97" s="76"/>
      <c r="AV97" s="76"/>
      <c r="AW97" s="77"/>
      <c r="AX97" s="76"/>
      <c r="AY97" s="76"/>
      <c r="AZ97" s="79"/>
      <c r="BA97" s="79"/>
    </row>
    <row r="98" spans="1:53" s="83" customFormat="1" ht="16.2" customHeight="1" outlineLevel="1">
      <c r="A98" s="81"/>
      <c r="B98" s="81"/>
      <c r="C98" s="81"/>
      <c r="D98" s="81"/>
      <c r="E98" s="81"/>
      <c r="F98" s="81"/>
      <c r="G98" s="81"/>
      <c r="H98" s="81"/>
      <c r="I98" s="77"/>
      <c r="J98" s="114"/>
      <c r="K98" s="115"/>
      <c r="L98" s="81"/>
      <c r="M98" s="81"/>
      <c r="N98" s="113"/>
      <c r="O98" s="81"/>
      <c r="P98" s="81"/>
      <c r="Q98" s="81"/>
      <c r="R98" s="78"/>
      <c r="S98" s="78"/>
      <c r="T98" s="81"/>
      <c r="U98" s="78"/>
      <c r="V98" s="78"/>
      <c r="W98" s="78"/>
      <c r="X98" s="78"/>
      <c r="Y98" s="78"/>
      <c r="Z98" s="78"/>
      <c r="AA98" s="78"/>
      <c r="AB98" s="116"/>
      <c r="AC98" s="114"/>
      <c r="AD98" s="76"/>
      <c r="AE98" s="77"/>
      <c r="AF98" s="76"/>
      <c r="AG98" s="76"/>
      <c r="AH98" s="77"/>
      <c r="AI98" s="76"/>
      <c r="AJ98" s="76"/>
      <c r="AK98" s="77"/>
      <c r="AL98" s="76"/>
      <c r="AM98" s="76"/>
      <c r="AN98" s="77"/>
      <c r="AO98" s="76"/>
      <c r="AP98" s="76"/>
      <c r="AQ98" s="77"/>
      <c r="AR98" s="80"/>
      <c r="AS98" s="76"/>
      <c r="AT98" s="77"/>
      <c r="AU98" s="76"/>
      <c r="AV98" s="76"/>
      <c r="AW98" s="77"/>
      <c r="AX98" s="76"/>
      <c r="AY98" s="76"/>
      <c r="AZ98" s="79"/>
      <c r="BA98" s="79"/>
    </row>
    <row r="99" spans="1:53" s="83" customFormat="1" ht="16.2" customHeight="1" outlineLevel="1">
      <c r="A99" s="81"/>
      <c r="B99" s="81"/>
      <c r="C99" s="81"/>
      <c r="D99" s="81"/>
      <c r="E99" s="81"/>
      <c r="F99" s="81"/>
      <c r="G99" s="81"/>
      <c r="H99" s="81"/>
      <c r="I99" s="77"/>
      <c r="J99" s="114"/>
      <c r="K99" s="115"/>
      <c r="L99" s="81"/>
      <c r="M99" s="81"/>
      <c r="N99" s="113"/>
      <c r="O99" s="81"/>
      <c r="P99" s="81"/>
      <c r="Q99" s="81"/>
      <c r="R99" s="78"/>
      <c r="S99" s="78"/>
      <c r="T99" s="81"/>
      <c r="U99" s="78"/>
      <c r="V99" s="78"/>
      <c r="W99" s="78"/>
      <c r="X99" s="78"/>
      <c r="Y99" s="78"/>
      <c r="Z99" s="78"/>
      <c r="AA99" s="78"/>
      <c r="AB99" s="116"/>
      <c r="AC99" s="114"/>
      <c r="AD99" s="76"/>
      <c r="AE99" s="77"/>
      <c r="AF99" s="76"/>
      <c r="AG99" s="76"/>
      <c r="AH99" s="77"/>
      <c r="AI99" s="76"/>
      <c r="AJ99" s="76"/>
      <c r="AK99" s="77"/>
      <c r="AL99" s="76"/>
      <c r="AM99" s="76"/>
      <c r="AN99" s="77"/>
      <c r="AO99" s="76"/>
      <c r="AP99" s="76"/>
      <c r="AQ99" s="77"/>
      <c r="AR99" s="80"/>
      <c r="AS99" s="76"/>
      <c r="AT99" s="77"/>
      <c r="AU99" s="76"/>
      <c r="AV99" s="76"/>
      <c r="AW99" s="77"/>
      <c r="AX99" s="76"/>
      <c r="AY99" s="76"/>
      <c r="AZ99" s="79"/>
      <c r="BA99" s="79"/>
    </row>
    <row r="100" spans="1:53" s="83" customFormat="1" ht="16.2" customHeight="1" outlineLevel="1">
      <c r="A100" s="81"/>
      <c r="B100" s="81"/>
      <c r="C100" s="81"/>
      <c r="D100" s="81"/>
      <c r="E100" s="81"/>
      <c r="F100" s="81"/>
      <c r="G100" s="81"/>
      <c r="H100" s="81"/>
      <c r="I100" s="77"/>
      <c r="J100" s="114"/>
      <c r="K100" s="115"/>
      <c r="L100" s="81"/>
      <c r="M100" s="81"/>
      <c r="N100" s="113"/>
      <c r="O100" s="81"/>
      <c r="P100" s="81"/>
      <c r="Q100" s="81"/>
      <c r="R100" s="78"/>
      <c r="S100" s="78"/>
      <c r="T100" s="81"/>
      <c r="U100" s="78"/>
      <c r="V100" s="78"/>
      <c r="W100" s="78"/>
      <c r="X100" s="78"/>
      <c r="Y100" s="78"/>
      <c r="Z100" s="78"/>
      <c r="AA100" s="78"/>
      <c r="AB100" s="116"/>
      <c r="AC100" s="114"/>
      <c r="AD100" s="76"/>
      <c r="AE100" s="77"/>
      <c r="AF100" s="76"/>
      <c r="AG100" s="76"/>
      <c r="AH100" s="77"/>
      <c r="AI100" s="76"/>
      <c r="AJ100" s="76"/>
      <c r="AK100" s="77"/>
      <c r="AL100" s="76"/>
      <c r="AM100" s="76"/>
      <c r="AN100" s="77"/>
      <c r="AO100" s="76"/>
      <c r="AP100" s="76"/>
      <c r="AQ100" s="77"/>
      <c r="AR100" s="80"/>
      <c r="AS100" s="76"/>
      <c r="AT100" s="77"/>
      <c r="AU100" s="76"/>
      <c r="AV100" s="76"/>
      <c r="AW100" s="77"/>
      <c r="AX100" s="76"/>
      <c r="AY100" s="76"/>
      <c r="AZ100" s="79"/>
      <c r="BA100" s="79"/>
    </row>
    <row r="101" spans="1:53" s="83" customFormat="1" ht="16.2" customHeight="1" outlineLevel="1">
      <c r="A101" s="81"/>
      <c r="B101" s="81"/>
      <c r="C101" s="81"/>
      <c r="D101" s="81"/>
      <c r="E101" s="81"/>
      <c r="F101" s="81"/>
      <c r="G101" s="81"/>
      <c r="H101" s="81"/>
      <c r="I101" s="77"/>
      <c r="J101" s="114"/>
      <c r="K101" s="115"/>
      <c r="L101" s="81"/>
      <c r="M101" s="81"/>
      <c r="N101" s="113"/>
      <c r="O101" s="81"/>
      <c r="P101" s="81"/>
      <c r="Q101" s="81"/>
      <c r="R101" s="78"/>
      <c r="S101" s="78"/>
      <c r="T101" s="81"/>
      <c r="U101" s="78"/>
      <c r="V101" s="78"/>
      <c r="W101" s="78"/>
      <c r="X101" s="78"/>
      <c r="Y101" s="78"/>
      <c r="Z101" s="78"/>
      <c r="AA101" s="78"/>
      <c r="AB101" s="116"/>
      <c r="AC101" s="114"/>
      <c r="AD101" s="76"/>
      <c r="AE101" s="77"/>
      <c r="AF101" s="76"/>
      <c r="AG101" s="76"/>
      <c r="AH101" s="77"/>
      <c r="AI101" s="76"/>
      <c r="AJ101" s="76"/>
      <c r="AK101" s="77"/>
      <c r="AL101" s="76"/>
      <c r="AM101" s="76"/>
      <c r="AN101" s="77"/>
      <c r="AO101" s="76"/>
      <c r="AP101" s="76"/>
      <c r="AQ101" s="77"/>
      <c r="AR101" s="80"/>
      <c r="AS101" s="76"/>
      <c r="AT101" s="77"/>
      <c r="AU101" s="76"/>
      <c r="AV101" s="76"/>
      <c r="AW101" s="77"/>
      <c r="AX101" s="76"/>
      <c r="AY101" s="76"/>
      <c r="AZ101" s="79"/>
      <c r="BA101" s="79"/>
    </row>
    <row r="102" spans="1:53" s="83" customFormat="1" ht="16.2" customHeight="1" outlineLevel="1">
      <c r="A102" s="81"/>
      <c r="B102" s="81"/>
      <c r="C102" s="81"/>
      <c r="D102" s="81"/>
      <c r="E102" s="81"/>
      <c r="F102" s="81"/>
      <c r="G102" s="81"/>
      <c r="H102" s="81"/>
      <c r="I102" s="77"/>
      <c r="J102" s="114"/>
      <c r="K102" s="115"/>
      <c r="L102" s="81"/>
      <c r="M102" s="81"/>
      <c r="N102" s="113"/>
      <c r="O102" s="81"/>
      <c r="P102" s="81"/>
      <c r="Q102" s="81"/>
      <c r="R102" s="78"/>
      <c r="S102" s="78"/>
      <c r="T102" s="81"/>
      <c r="U102" s="78"/>
      <c r="V102" s="78"/>
      <c r="W102" s="78"/>
      <c r="X102" s="78"/>
      <c r="Y102" s="78"/>
      <c r="Z102" s="78"/>
      <c r="AA102" s="78"/>
      <c r="AB102" s="116"/>
      <c r="AC102" s="114"/>
      <c r="AD102" s="76"/>
      <c r="AE102" s="77"/>
      <c r="AF102" s="76"/>
      <c r="AG102" s="76"/>
      <c r="AH102" s="77"/>
      <c r="AI102" s="76"/>
      <c r="AJ102" s="76"/>
      <c r="AK102" s="77"/>
      <c r="AL102" s="76"/>
      <c r="AM102" s="76"/>
      <c r="AN102" s="77"/>
      <c r="AO102" s="76"/>
      <c r="AP102" s="76"/>
      <c r="AQ102" s="77"/>
      <c r="AR102" s="80"/>
      <c r="AS102" s="76"/>
      <c r="AT102" s="77"/>
      <c r="AU102" s="76"/>
      <c r="AV102" s="76"/>
      <c r="AW102" s="77"/>
      <c r="AX102" s="76"/>
      <c r="AY102" s="76"/>
      <c r="AZ102" s="79"/>
      <c r="BA102" s="79"/>
    </row>
    <row r="103" spans="1:53" s="83" customFormat="1" ht="16.2" customHeight="1" outlineLevel="1">
      <c r="A103" s="81"/>
      <c r="B103" s="81"/>
      <c r="C103" s="81"/>
      <c r="D103" s="81"/>
      <c r="E103" s="81"/>
      <c r="F103" s="81"/>
      <c r="G103" s="81"/>
      <c r="H103" s="81"/>
      <c r="I103" s="77"/>
      <c r="J103" s="114"/>
      <c r="K103" s="115"/>
      <c r="L103" s="81"/>
      <c r="M103" s="81"/>
      <c r="N103" s="113"/>
      <c r="O103" s="81"/>
      <c r="P103" s="81"/>
      <c r="Q103" s="81"/>
      <c r="R103" s="78"/>
      <c r="S103" s="78"/>
      <c r="T103" s="81"/>
      <c r="U103" s="78"/>
      <c r="V103" s="78"/>
      <c r="W103" s="78"/>
      <c r="X103" s="78"/>
      <c r="Y103" s="78"/>
      <c r="Z103" s="78"/>
      <c r="AA103" s="78"/>
      <c r="AB103" s="116"/>
      <c r="AC103" s="114"/>
      <c r="AD103" s="76"/>
      <c r="AE103" s="77"/>
      <c r="AF103" s="76"/>
      <c r="AG103" s="76"/>
      <c r="AH103" s="77"/>
      <c r="AI103" s="76"/>
      <c r="AJ103" s="76"/>
      <c r="AK103" s="77"/>
      <c r="AL103" s="76"/>
      <c r="AM103" s="76"/>
      <c r="AN103" s="77"/>
      <c r="AO103" s="76"/>
      <c r="AP103" s="76"/>
      <c r="AQ103" s="77"/>
      <c r="AR103" s="80"/>
      <c r="AS103" s="76"/>
      <c r="AT103" s="77"/>
      <c r="AU103" s="76"/>
      <c r="AV103" s="76"/>
      <c r="AW103" s="77"/>
      <c r="AX103" s="76"/>
      <c r="AY103" s="76"/>
      <c r="AZ103" s="79"/>
      <c r="BA103" s="79"/>
    </row>
    <row r="104" spans="1:53" s="83" customFormat="1" ht="16.2" customHeight="1" outlineLevel="1">
      <c r="A104" s="81"/>
      <c r="B104" s="81"/>
      <c r="C104" s="81"/>
      <c r="D104" s="81"/>
      <c r="E104" s="81"/>
      <c r="F104" s="81"/>
      <c r="G104" s="81"/>
      <c r="H104" s="81"/>
      <c r="I104" s="77"/>
      <c r="J104" s="114"/>
      <c r="K104" s="115"/>
      <c r="L104" s="81"/>
      <c r="M104" s="81"/>
      <c r="N104" s="113"/>
      <c r="O104" s="81"/>
      <c r="P104" s="81"/>
      <c r="Q104" s="81"/>
      <c r="R104" s="78"/>
      <c r="S104" s="78"/>
      <c r="T104" s="81"/>
      <c r="U104" s="78"/>
      <c r="V104" s="78"/>
      <c r="W104" s="78"/>
      <c r="X104" s="78"/>
      <c r="Y104" s="78"/>
      <c r="Z104" s="78"/>
      <c r="AA104" s="78"/>
      <c r="AB104" s="116"/>
      <c r="AC104" s="114"/>
      <c r="AD104" s="76"/>
      <c r="AE104" s="77"/>
      <c r="AF104" s="76"/>
      <c r="AG104" s="76"/>
      <c r="AH104" s="77"/>
      <c r="AI104" s="76"/>
      <c r="AJ104" s="76"/>
      <c r="AK104" s="77"/>
      <c r="AL104" s="76"/>
      <c r="AM104" s="76"/>
      <c r="AN104" s="77"/>
      <c r="AO104" s="76"/>
      <c r="AP104" s="76"/>
      <c r="AQ104" s="77"/>
      <c r="AR104" s="80"/>
      <c r="AS104" s="76"/>
      <c r="AT104" s="77"/>
      <c r="AU104" s="76"/>
      <c r="AV104" s="76"/>
      <c r="AW104" s="77"/>
      <c r="AX104" s="76"/>
      <c r="AY104" s="76"/>
      <c r="AZ104" s="79"/>
      <c r="BA104" s="79"/>
    </row>
    <row r="105" spans="1:53" s="83" customFormat="1" ht="16.2" customHeight="1" outlineLevel="1">
      <c r="A105" s="81"/>
      <c r="B105" s="81"/>
      <c r="C105" s="81"/>
      <c r="D105" s="81"/>
      <c r="E105" s="81"/>
      <c r="F105" s="81"/>
      <c r="G105" s="81"/>
      <c r="H105" s="81"/>
      <c r="I105" s="77"/>
      <c r="J105" s="114"/>
      <c r="K105" s="115"/>
      <c r="L105" s="81"/>
      <c r="M105" s="81"/>
      <c r="N105" s="113"/>
      <c r="O105" s="81"/>
      <c r="P105" s="81"/>
      <c r="Q105" s="81"/>
      <c r="R105" s="78"/>
      <c r="S105" s="78"/>
      <c r="T105" s="81"/>
      <c r="U105" s="78"/>
      <c r="V105" s="78"/>
      <c r="W105" s="78"/>
      <c r="X105" s="78"/>
      <c r="Y105" s="78"/>
      <c r="Z105" s="78"/>
      <c r="AA105" s="78"/>
      <c r="AB105" s="116"/>
      <c r="AC105" s="114"/>
      <c r="AD105" s="76"/>
      <c r="AE105" s="77"/>
      <c r="AF105" s="76"/>
      <c r="AG105" s="76"/>
      <c r="AH105" s="77"/>
      <c r="AI105" s="76"/>
      <c r="AJ105" s="76"/>
      <c r="AK105" s="77"/>
      <c r="AL105" s="76"/>
      <c r="AM105" s="76"/>
      <c r="AN105" s="77"/>
      <c r="AO105" s="76"/>
      <c r="AP105" s="76"/>
      <c r="AQ105" s="77"/>
      <c r="AR105" s="80"/>
      <c r="AS105" s="76"/>
      <c r="AT105" s="77"/>
      <c r="AU105" s="76"/>
      <c r="AV105" s="76"/>
      <c r="AW105" s="77"/>
      <c r="AX105" s="76"/>
      <c r="AY105" s="76"/>
      <c r="AZ105" s="79"/>
      <c r="BA105" s="79"/>
    </row>
    <row r="106" spans="1:53" s="83" customFormat="1" ht="16.2" customHeight="1" outlineLevel="1">
      <c r="A106" s="81"/>
      <c r="B106" s="81"/>
      <c r="C106" s="81"/>
      <c r="D106" s="81"/>
      <c r="E106" s="81"/>
      <c r="F106" s="81"/>
      <c r="G106" s="81"/>
      <c r="H106" s="81"/>
      <c r="I106" s="77"/>
      <c r="J106" s="114"/>
      <c r="K106" s="115"/>
      <c r="L106" s="81"/>
      <c r="M106" s="81"/>
      <c r="N106" s="113"/>
      <c r="O106" s="81"/>
      <c r="P106" s="81"/>
      <c r="Q106" s="81"/>
      <c r="R106" s="78"/>
      <c r="S106" s="78"/>
      <c r="T106" s="81"/>
      <c r="U106" s="78"/>
      <c r="V106" s="78"/>
      <c r="W106" s="78"/>
      <c r="X106" s="78"/>
      <c r="Y106" s="78"/>
      <c r="Z106" s="78"/>
      <c r="AA106" s="78"/>
      <c r="AB106" s="116"/>
      <c r="AC106" s="114"/>
      <c r="AD106" s="76"/>
      <c r="AE106" s="77"/>
      <c r="AF106" s="76"/>
      <c r="AG106" s="76"/>
      <c r="AH106" s="77"/>
      <c r="AI106" s="76"/>
      <c r="AJ106" s="76"/>
      <c r="AK106" s="77"/>
      <c r="AL106" s="76"/>
      <c r="AM106" s="76"/>
      <c r="AN106" s="77"/>
      <c r="AO106" s="76"/>
      <c r="AP106" s="76"/>
      <c r="AQ106" s="77"/>
      <c r="AR106" s="80"/>
      <c r="AS106" s="76"/>
      <c r="AT106" s="77"/>
      <c r="AU106" s="76"/>
      <c r="AV106" s="76"/>
      <c r="AW106" s="77"/>
      <c r="AX106" s="76"/>
      <c r="AY106" s="76"/>
      <c r="AZ106" s="79"/>
      <c r="BA106" s="79"/>
    </row>
    <row r="107" spans="1:53" s="83" customFormat="1" ht="16.2" customHeight="1" outlineLevel="1">
      <c r="A107" s="81"/>
      <c r="B107" s="81"/>
      <c r="C107" s="81"/>
      <c r="D107" s="81"/>
      <c r="E107" s="81"/>
      <c r="F107" s="81"/>
      <c r="G107" s="81"/>
      <c r="H107" s="81"/>
      <c r="I107" s="77"/>
      <c r="J107" s="114"/>
      <c r="K107" s="115"/>
      <c r="L107" s="81"/>
      <c r="M107" s="81"/>
      <c r="N107" s="113"/>
      <c r="O107" s="81"/>
      <c r="P107" s="81"/>
      <c r="Q107" s="81"/>
      <c r="R107" s="78"/>
      <c r="S107" s="78"/>
      <c r="T107" s="81"/>
      <c r="U107" s="78"/>
      <c r="V107" s="78"/>
      <c r="W107" s="78"/>
      <c r="X107" s="78"/>
      <c r="Y107" s="78"/>
      <c r="Z107" s="78"/>
      <c r="AA107" s="78"/>
      <c r="AB107" s="116"/>
      <c r="AC107" s="114"/>
      <c r="AD107" s="76"/>
      <c r="AE107" s="77"/>
      <c r="AF107" s="76"/>
      <c r="AG107" s="76"/>
      <c r="AH107" s="77"/>
      <c r="AI107" s="76"/>
      <c r="AJ107" s="76"/>
      <c r="AK107" s="77"/>
      <c r="AL107" s="76"/>
      <c r="AM107" s="76"/>
      <c r="AN107" s="77"/>
      <c r="AO107" s="76"/>
      <c r="AP107" s="76"/>
      <c r="AQ107" s="77"/>
      <c r="AR107" s="80"/>
      <c r="AS107" s="76"/>
      <c r="AT107" s="77"/>
      <c r="AU107" s="76"/>
      <c r="AV107" s="76"/>
      <c r="AW107" s="77"/>
      <c r="AX107" s="76"/>
      <c r="AY107" s="76"/>
      <c r="AZ107" s="79"/>
      <c r="BA107" s="79"/>
    </row>
    <row r="108" spans="1:53" s="83" customFormat="1" ht="16.2" customHeight="1" outlineLevel="1">
      <c r="A108" s="81"/>
      <c r="B108" s="81"/>
      <c r="C108" s="81"/>
      <c r="D108" s="81"/>
      <c r="E108" s="81"/>
      <c r="F108" s="81"/>
      <c r="G108" s="81"/>
      <c r="H108" s="81"/>
      <c r="I108" s="77"/>
      <c r="J108" s="114"/>
      <c r="K108" s="115"/>
      <c r="L108" s="81"/>
      <c r="M108" s="81"/>
      <c r="N108" s="113"/>
      <c r="O108" s="81"/>
      <c r="P108" s="81"/>
      <c r="Q108" s="81"/>
      <c r="R108" s="78"/>
      <c r="S108" s="78"/>
      <c r="T108" s="81"/>
      <c r="U108" s="78"/>
      <c r="V108" s="78"/>
      <c r="W108" s="78"/>
      <c r="X108" s="78"/>
      <c r="Y108" s="78"/>
      <c r="Z108" s="78"/>
      <c r="AA108" s="78"/>
      <c r="AB108" s="116"/>
      <c r="AC108" s="114"/>
      <c r="AD108" s="76"/>
      <c r="AE108" s="77"/>
      <c r="AF108" s="76"/>
      <c r="AG108" s="76"/>
      <c r="AH108" s="77"/>
      <c r="AI108" s="76"/>
      <c r="AJ108" s="76"/>
      <c r="AK108" s="77"/>
      <c r="AL108" s="76"/>
      <c r="AM108" s="76"/>
      <c r="AN108" s="77"/>
      <c r="AO108" s="76"/>
      <c r="AP108" s="76"/>
      <c r="AQ108" s="77"/>
      <c r="AR108" s="80"/>
      <c r="AS108" s="76"/>
      <c r="AT108" s="77"/>
      <c r="AU108" s="76"/>
      <c r="AV108" s="76"/>
      <c r="AW108" s="77"/>
      <c r="AX108" s="76"/>
      <c r="AY108" s="76"/>
      <c r="AZ108" s="79"/>
      <c r="BA108" s="79"/>
    </row>
    <row r="109" spans="1:53" s="83" customFormat="1" ht="16.2" customHeight="1" outlineLevel="1">
      <c r="A109" s="81"/>
      <c r="B109" s="81"/>
      <c r="C109" s="81"/>
      <c r="D109" s="81"/>
      <c r="E109" s="81"/>
      <c r="F109" s="81"/>
      <c r="G109" s="81"/>
      <c r="H109" s="81"/>
      <c r="I109" s="77"/>
      <c r="J109" s="114"/>
      <c r="K109" s="115"/>
      <c r="L109" s="81"/>
      <c r="M109" s="81"/>
      <c r="N109" s="113"/>
      <c r="O109" s="81"/>
      <c r="P109" s="81"/>
      <c r="Q109" s="81"/>
      <c r="R109" s="78"/>
      <c r="S109" s="78"/>
      <c r="T109" s="81"/>
      <c r="U109" s="78"/>
      <c r="V109" s="78"/>
      <c r="W109" s="78"/>
      <c r="X109" s="78"/>
      <c r="Y109" s="78"/>
      <c r="Z109" s="78"/>
      <c r="AA109" s="78"/>
      <c r="AB109" s="116"/>
      <c r="AC109" s="114"/>
      <c r="AD109" s="76"/>
      <c r="AE109" s="77"/>
      <c r="AF109" s="76"/>
      <c r="AG109" s="76"/>
      <c r="AH109" s="77"/>
      <c r="AI109" s="76"/>
      <c r="AJ109" s="76"/>
      <c r="AK109" s="77"/>
      <c r="AL109" s="76"/>
      <c r="AM109" s="76"/>
      <c r="AN109" s="77"/>
      <c r="AO109" s="76"/>
      <c r="AP109" s="76"/>
      <c r="AQ109" s="77"/>
      <c r="AR109" s="80"/>
      <c r="AS109" s="76"/>
      <c r="AT109" s="77"/>
      <c r="AU109" s="76"/>
      <c r="AV109" s="76"/>
      <c r="AW109" s="77"/>
      <c r="AX109" s="76"/>
      <c r="AY109" s="76"/>
      <c r="AZ109" s="79"/>
      <c r="BA109" s="79"/>
    </row>
    <row r="110" spans="1:53" s="83" customFormat="1" ht="16.2" customHeight="1" outlineLevel="1">
      <c r="A110" s="81"/>
      <c r="B110" s="81"/>
      <c r="C110" s="81"/>
      <c r="D110" s="81"/>
      <c r="E110" s="81"/>
      <c r="F110" s="81"/>
      <c r="G110" s="81"/>
      <c r="H110" s="81"/>
      <c r="I110" s="77"/>
      <c r="J110" s="114"/>
      <c r="K110" s="115"/>
      <c r="L110" s="81"/>
      <c r="M110" s="81"/>
      <c r="N110" s="113"/>
      <c r="O110" s="81"/>
      <c r="P110" s="81"/>
      <c r="Q110" s="81"/>
      <c r="R110" s="78"/>
      <c r="S110" s="78"/>
      <c r="T110" s="81"/>
      <c r="U110" s="78"/>
      <c r="V110" s="78"/>
      <c r="W110" s="78"/>
      <c r="X110" s="78"/>
      <c r="Y110" s="78"/>
      <c r="Z110" s="78"/>
      <c r="AA110" s="78"/>
      <c r="AB110" s="116"/>
      <c r="AC110" s="114"/>
      <c r="AD110" s="76"/>
      <c r="AE110" s="77"/>
      <c r="AF110" s="76"/>
      <c r="AG110" s="76"/>
      <c r="AH110" s="77"/>
      <c r="AI110" s="76"/>
      <c r="AJ110" s="76"/>
      <c r="AK110" s="77"/>
      <c r="AL110" s="76"/>
      <c r="AM110" s="76"/>
      <c r="AN110" s="77"/>
      <c r="AO110" s="76"/>
      <c r="AP110" s="76"/>
      <c r="AQ110" s="77"/>
      <c r="AR110" s="80"/>
      <c r="AS110" s="76"/>
      <c r="AT110" s="77"/>
      <c r="AU110" s="76"/>
      <c r="AV110" s="76"/>
      <c r="AW110" s="77"/>
      <c r="AX110" s="76"/>
      <c r="AY110" s="76"/>
      <c r="AZ110" s="79"/>
      <c r="BA110" s="79"/>
    </row>
    <row r="111" spans="1:53" s="83" customFormat="1" ht="16.2" customHeight="1" outlineLevel="1">
      <c r="A111" s="81"/>
      <c r="B111" s="81"/>
      <c r="C111" s="81"/>
      <c r="D111" s="81"/>
      <c r="E111" s="81"/>
      <c r="F111" s="81"/>
      <c r="G111" s="81"/>
      <c r="H111" s="81"/>
      <c r="I111" s="77"/>
      <c r="J111" s="114"/>
      <c r="K111" s="115"/>
      <c r="L111" s="81"/>
      <c r="M111" s="81"/>
      <c r="N111" s="113"/>
      <c r="O111" s="81"/>
      <c r="P111" s="81"/>
      <c r="Q111" s="81"/>
      <c r="R111" s="78"/>
      <c r="S111" s="78"/>
      <c r="T111" s="81"/>
      <c r="U111" s="78"/>
      <c r="V111" s="78"/>
      <c r="W111" s="78"/>
      <c r="X111" s="78"/>
      <c r="Y111" s="78"/>
      <c r="Z111" s="78"/>
      <c r="AA111" s="78"/>
      <c r="AB111" s="116"/>
      <c r="AC111" s="114"/>
      <c r="AD111" s="76"/>
      <c r="AE111" s="77"/>
      <c r="AF111" s="76"/>
      <c r="AG111" s="76"/>
      <c r="AH111" s="77"/>
      <c r="AI111" s="76"/>
      <c r="AJ111" s="76"/>
      <c r="AK111" s="77"/>
      <c r="AL111" s="76"/>
      <c r="AM111" s="76"/>
      <c r="AN111" s="77"/>
      <c r="AO111" s="76"/>
      <c r="AP111" s="76"/>
      <c r="AQ111" s="77"/>
      <c r="AR111" s="80"/>
      <c r="AS111" s="76"/>
      <c r="AT111" s="77"/>
      <c r="AU111" s="76"/>
      <c r="AV111" s="76"/>
      <c r="AW111" s="77"/>
      <c r="AX111" s="76"/>
      <c r="AY111" s="76"/>
      <c r="AZ111" s="79"/>
      <c r="BA111" s="79"/>
    </row>
    <row r="112" spans="1:53" s="83" customFormat="1" ht="16.2" customHeight="1" outlineLevel="1">
      <c r="A112" s="81"/>
      <c r="B112" s="81"/>
      <c r="C112" s="81"/>
      <c r="D112" s="81"/>
      <c r="E112" s="81"/>
      <c r="F112" s="81"/>
      <c r="G112" s="81"/>
      <c r="H112" s="81"/>
      <c r="I112" s="77"/>
      <c r="J112" s="114"/>
      <c r="K112" s="115"/>
      <c r="L112" s="81"/>
      <c r="M112" s="81"/>
      <c r="N112" s="113"/>
      <c r="O112" s="81"/>
      <c r="P112" s="81"/>
      <c r="Q112" s="81"/>
      <c r="R112" s="78"/>
      <c r="S112" s="78"/>
      <c r="T112" s="81"/>
      <c r="U112" s="78"/>
      <c r="V112" s="78"/>
      <c r="W112" s="78"/>
      <c r="X112" s="78"/>
      <c r="Y112" s="78"/>
      <c r="Z112" s="78"/>
      <c r="AA112" s="78"/>
      <c r="AB112" s="116"/>
      <c r="AC112" s="114"/>
      <c r="AD112" s="76"/>
      <c r="AE112" s="77"/>
      <c r="AF112" s="76"/>
      <c r="AG112" s="76"/>
      <c r="AH112" s="77"/>
      <c r="AI112" s="76"/>
      <c r="AJ112" s="76"/>
      <c r="AK112" s="77"/>
      <c r="AL112" s="76"/>
      <c r="AM112" s="76"/>
      <c r="AN112" s="77"/>
      <c r="AO112" s="76"/>
      <c r="AP112" s="76"/>
      <c r="AQ112" s="77"/>
      <c r="AR112" s="80"/>
      <c r="AS112" s="76"/>
      <c r="AT112" s="77"/>
      <c r="AU112" s="76"/>
      <c r="AV112" s="76"/>
      <c r="AW112" s="77"/>
      <c r="AX112" s="76"/>
      <c r="AY112" s="76"/>
      <c r="AZ112" s="79"/>
      <c r="BA112" s="79"/>
    </row>
    <row r="113" spans="1:53" s="83" customFormat="1" ht="16.2" customHeight="1" outlineLevel="1">
      <c r="A113" s="81"/>
      <c r="B113" s="81"/>
      <c r="C113" s="81"/>
      <c r="D113" s="81"/>
      <c r="E113" s="81"/>
      <c r="F113" s="81"/>
      <c r="G113" s="81"/>
      <c r="H113" s="81"/>
      <c r="I113" s="77"/>
      <c r="J113" s="114"/>
      <c r="K113" s="115"/>
      <c r="L113" s="81"/>
      <c r="M113" s="81"/>
      <c r="N113" s="113"/>
      <c r="O113" s="81"/>
      <c r="P113" s="81"/>
      <c r="Q113" s="81"/>
      <c r="R113" s="78"/>
      <c r="S113" s="78"/>
      <c r="T113" s="81"/>
      <c r="U113" s="78"/>
      <c r="V113" s="78"/>
      <c r="W113" s="78"/>
      <c r="X113" s="78"/>
      <c r="Y113" s="78"/>
      <c r="Z113" s="78"/>
      <c r="AA113" s="78"/>
      <c r="AB113" s="116"/>
      <c r="AC113" s="114"/>
      <c r="AD113" s="76"/>
      <c r="AE113" s="77"/>
      <c r="AF113" s="76"/>
      <c r="AG113" s="76"/>
      <c r="AH113" s="77"/>
      <c r="AI113" s="76"/>
      <c r="AJ113" s="76"/>
      <c r="AK113" s="77"/>
      <c r="AL113" s="76"/>
      <c r="AM113" s="76"/>
      <c r="AN113" s="77"/>
      <c r="AO113" s="76"/>
      <c r="AP113" s="76"/>
      <c r="AQ113" s="77"/>
      <c r="AR113" s="80"/>
      <c r="AS113" s="76"/>
      <c r="AT113" s="77"/>
      <c r="AU113" s="76"/>
      <c r="AV113" s="76"/>
      <c r="AW113" s="77"/>
      <c r="AX113" s="76"/>
      <c r="AY113" s="76"/>
      <c r="AZ113" s="79"/>
      <c r="BA113" s="79"/>
    </row>
    <row r="114" spans="1:53" s="83" customFormat="1" ht="16.2" customHeight="1" outlineLevel="1">
      <c r="A114" s="81"/>
      <c r="B114" s="81"/>
      <c r="C114" s="81"/>
      <c r="D114" s="81"/>
      <c r="E114" s="81"/>
      <c r="F114" s="81"/>
      <c r="G114" s="81"/>
      <c r="H114" s="81"/>
      <c r="I114" s="77"/>
      <c r="J114" s="114"/>
      <c r="K114" s="115"/>
      <c r="L114" s="81"/>
      <c r="M114" s="81"/>
      <c r="N114" s="113"/>
      <c r="O114" s="81"/>
      <c r="P114" s="81"/>
      <c r="Q114" s="81"/>
      <c r="R114" s="78"/>
      <c r="S114" s="78"/>
      <c r="T114" s="81"/>
      <c r="U114" s="78"/>
      <c r="V114" s="78"/>
      <c r="W114" s="78"/>
      <c r="X114" s="78"/>
      <c r="Y114" s="78"/>
      <c r="Z114" s="78"/>
      <c r="AA114" s="78"/>
      <c r="AB114" s="116"/>
      <c r="AC114" s="114"/>
      <c r="AD114" s="76"/>
      <c r="AE114" s="77"/>
      <c r="AF114" s="76"/>
      <c r="AG114" s="76"/>
      <c r="AH114" s="77"/>
      <c r="AI114" s="76"/>
      <c r="AJ114" s="76"/>
      <c r="AK114" s="77"/>
      <c r="AL114" s="76"/>
      <c r="AM114" s="76"/>
      <c r="AN114" s="77"/>
      <c r="AO114" s="76"/>
      <c r="AP114" s="76"/>
      <c r="AQ114" s="77"/>
      <c r="AR114" s="80"/>
      <c r="AS114" s="76"/>
      <c r="AT114" s="77"/>
      <c r="AU114" s="76"/>
      <c r="AV114" s="76"/>
      <c r="AW114" s="77"/>
      <c r="AX114" s="76"/>
      <c r="AY114" s="76"/>
      <c r="AZ114" s="79"/>
      <c r="BA114" s="79"/>
    </row>
    <row r="115" spans="1:53" s="83" customFormat="1" ht="16.2" customHeight="1">
      <c r="A115" s="81"/>
      <c r="B115" s="81"/>
      <c r="C115" s="81"/>
      <c r="D115" s="81"/>
      <c r="E115" s="81"/>
      <c r="F115" s="81"/>
      <c r="G115" s="81"/>
      <c r="H115" s="81"/>
      <c r="I115" s="77"/>
      <c r="J115" s="114"/>
      <c r="K115" s="115"/>
      <c r="L115" s="81"/>
      <c r="M115" s="81"/>
      <c r="N115" s="113"/>
      <c r="O115" s="81"/>
      <c r="P115" s="81"/>
      <c r="Q115" s="81"/>
      <c r="R115" s="78"/>
      <c r="S115" s="78"/>
      <c r="T115" s="81"/>
      <c r="U115" s="78"/>
      <c r="V115" s="78"/>
      <c r="W115" s="78"/>
      <c r="X115" s="78"/>
      <c r="Y115" s="78"/>
      <c r="Z115" s="78"/>
      <c r="AA115" s="78"/>
      <c r="AB115" s="116"/>
      <c r="AC115" s="114"/>
      <c r="AD115" s="76"/>
      <c r="AE115" s="77"/>
      <c r="AF115" s="76"/>
      <c r="AG115" s="76"/>
      <c r="AH115" s="77"/>
      <c r="AI115" s="76"/>
      <c r="AJ115" s="76"/>
      <c r="AK115" s="77"/>
      <c r="AL115" s="76"/>
      <c r="AM115" s="76"/>
      <c r="AN115" s="77"/>
      <c r="AO115" s="76"/>
      <c r="AP115" s="76"/>
      <c r="AQ115" s="77"/>
      <c r="AR115" s="80"/>
      <c r="AS115" s="76"/>
      <c r="AT115" s="77"/>
      <c r="AU115" s="76"/>
      <c r="AV115" s="76"/>
      <c r="AW115" s="77"/>
      <c r="AX115" s="76"/>
      <c r="AY115" s="76"/>
      <c r="AZ115" s="79"/>
      <c r="BA115" s="79"/>
    </row>
    <row r="116" spans="1:53" s="83" customFormat="1" ht="16.2" customHeight="1">
      <c r="A116" s="81"/>
      <c r="B116" s="81"/>
      <c r="C116" s="81"/>
      <c r="D116" s="81"/>
      <c r="E116" s="81"/>
      <c r="F116" s="81"/>
      <c r="G116" s="81"/>
      <c r="H116" s="81"/>
      <c r="I116" s="77"/>
      <c r="J116" s="114"/>
      <c r="K116" s="115"/>
      <c r="L116" s="81"/>
      <c r="M116" s="81"/>
      <c r="N116" s="113"/>
      <c r="O116" s="81"/>
      <c r="P116" s="81"/>
      <c r="Q116" s="81"/>
      <c r="R116" s="78"/>
      <c r="S116" s="78"/>
      <c r="T116" s="81"/>
      <c r="U116" s="78"/>
      <c r="V116" s="78"/>
      <c r="W116" s="78"/>
      <c r="X116" s="78"/>
      <c r="Y116" s="78"/>
      <c r="Z116" s="78"/>
      <c r="AA116" s="78"/>
      <c r="AB116" s="116"/>
      <c r="AC116" s="114"/>
      <c r="AD116" s="76"/>
      <c r="AE116" s="77"/>
      <c r="AF116" s="76"/>
      <c r="AG116" s="76"/>
      <c r="AH116" s="77"/>
      <c r="AI116" s="76"/>
      <c r="AJ116" s="76"/>
      <c r="AK116" s="77"/>
      <c r="AL116" s="76"/>
      <c r="AM116" s="76"/>
      <c r="AN116" s="77"/>
      <c r="AO116" s="76"/>
      <c r="AP116" s="76"/>
      <c r="AQ116" s="77"/>
      <c r="AR116" s="80"/>
      <c r="AS116" s="76"/>
      <c r="AT116" s="77"/>
      <c r="AU116" s="76"/>
      <c r="AV116" s="76"/>
      <c r="AW116" s="77"/>
      <c r="AX116" s="76"/>
      <c r="AY116" s="76"/>
      <c r="AZ116" s="79"/>
      <c r="BA116" s="79"/>
    </row>
    <row r="117" spans="1:53" s="83" customFormat="1" ht="16.2" customHeight="1">
      <c r="A117" s="81"/>
      <c r="B117" s="81"/>
      <c r="C117" s="81"/>
      <c r="D117" s="81"/>
      <c r="E117" s="81"/>
      <c r="F117" s="81"/>
      <c r="G117" s="81"/>
      <c r="H117" s="81"/>
      <c r="I117" s="77"/>
      <c r="J117" s="114"/>
      <c r="K117" s="115"/>
      <c r="L117" s="81"/>
      <c r="M117" s="81"/>
      <c r="N117" s="113"/>
      <c r="O117" s="81"/>
      <c r="P117" s="81"/>
      <c r="Q117" s="81"/>
      <c r="R117" s="78"/>
      <c r="S117" s="78"/>
      <c r="T117" s="81"/>
      <c r="U117" s="78"/>
      <c r="V117" s="78"/>
      <c r="W117" s="78"/>
      <c r="X117" s="78"/>
      <c r="Y117" s="78"/>
      <c r="Z117" s="78"/>
      <c r="AA117" s="78"/>
      <c r="AB117" s="116"/>
      <c r="AC117" s="114"/>
      <c r="AD117" s="76"/>
      <c r="AE117" s="77"/>
      <c r="AF117" s="76"/>
      <c r="AG117" s="76"/>
      <c r="AH117" s="77"/>
      <c r="AI117" s="76"/>
      <c r="AJ117" s="76"/>
      <c r="AK117" s="77"/>
      <c r="AL117" s="76"/>
      <c r="AM117" s="76"/>
      <c r="AN117" s="77"/>
      <c r="AO117" s="76"/>
      <c r="AP117" s="76"/>
      <c r="AQ117" s="77"/>
      <c r="AR117" s="80"/>
      <c r="AS117" s="76"/>
      <c r="AT117" s="77"/>
      <c r="AU117" s="76"/>
      <c r="AV117" s="76"/>
      <c r="AW117" s="77"/>
      <c r="AX117" s="76"/>
      <c r="AY117" s="76"/>
      <c r="AZ117" s="79"/>
      <c r="BA117" s="79"/>
    </row>
    <row r="118" spans="1:53" s="83" customFormat="1" ht="16.2" customHeight="1">
      <c r="A118" s="81"/>
      <c r="B118" s="81"/>
      <c r="C118" s="81"/>
      <c r="D118" s="81"/>
      <c r="E118" s="81"/>
      <c r="F118" s="81"/>
      <c r="G118" s="81"/>
      <c r="H118" s="81"/>
      <c r="I118" s="77"/>
      <c r="J118" s="114"/>
      <c r="K118" s="115"/>
      <c r="L118" s="81"/>
      <c r="M118" s="81"/>
      <c r="N118" s="113"/>
      <c r="O118" s="81"/>
      <c r="P118" s="81"/>
      <c r="Q118" s="81"/>
      <c r="R118" s="78"/>
      <c r="S118" s="78"/>
      <c r="T118" s="81"/>
      <c r="U118" s="78"/>
      <c r="V118" s="78"/>
      <c r="W118" s="78"/>
      <c r="X118" s="78"/>
      <c r="Y118" s="78"/>
      <c r="Z118" s="78"/>
      <c r="AA118" s="78"/>
      <c r="AB118" s="116"/>
      <c r="AC118" s="114"/>
      <c r="AD118" s="76"/>
      <c r="AE118" s="77"/>
      <c r="AF118" s="76"/>
      <c r="AG118" s="76"/>
      <c r="AH118" s="77"/>
      <c r="AI118" s="76"/>
      <c r="AJ118" s="76"/>
      <c r="AK118" s="77"/>
      <c r="AL118" s="76"/>
      <c r="AM118" s="76"/>
      <c r="AN118" s="77"/>
      <c r="AO118" s="76"/>
      <c r="AP118" s="76"/>
      <c r="AQ118" s="77"/>
      <c r="AR118" s="80"/>
      <c r="AS118" s="76"/>
      <c r="AT118" s="77"/>
      <c r="AU118" s="76"/>
      <c r="AV118" s="76"/>
      <c r="AW118" s="77"/>
      <c r="AX118" s="76"/>
      <c r="AY118" s="76"/>
      <c r="AZ118" s="79"/>
      <c r="BA118" s="79"/>
    </row>
    <row r="119" spans="1:53" s="83" customFormat="1" ht="16.2" customHeight="1">
      <c r="A119" s="81"/>
      <c r="B119" s="81"/>
      <c r="C119" s="81"/>
      <c r="D119" s="81"/>
      <c r="E119" s="81"/>
      <c r="F119" s="81"/>
      <c r="G119" s="81"/>
      <c r="H119" s="81"/>
      <c r="I119" s="77"/>
      <c r="J119" s="114"/>
      <c r="K119" s="115"/>
      <c r="L119" s="81"/>
      <c r="M119" s="81"/>
      <c r="N119" s="113"/>
      <c r="O119" s="81"/>
      <c r="P119" s="81"/>
      <c r="Q119" s="81"/>
      <c r="R119" s="78"/>
      <c r="S119" s="78"/>
      <c r="T119" s="81"/>
      <c r="U119" s="78"/>
      <c r="V119" s="78"/>
      <c r="W119" s="78"/>
      <c r="X119" s="78"/>
      <c r="Y119" s="78"/>
      <c r="Z119" s="78"/>
      <c r="AA119" s="78"/>
      <c r="AB119" s="116"/>
      <c r="AC119" s="114"/>
      <c r="AD119" s="76"/>
      <c r="AE119" s="77"/>
      <c r="AF119" s="76"/>
      <c r="AG119" s="76"/>
      <c r="AH119" s="77"/>
      <c r="AI119" s="76"/>
      <c r="AJ119" s="76"/>
      <c r="AK119" s="77"/>
      <c r="AL119" s="76"/>
      <c r="AM119" s="76"/>
      <c r="AN119" s="77"/>
      <c r="AO119" s="76"/>
      <c r="AP119" s="76"/>
      <c r="AQ119" s="77"/>
      <c r="AR119" s="80"/>
      <c r="AS119" s="76"/>
      <c r="AT119" s="77"/>
      <c r="AU119" s="76"/>
      <c r="AV119" s="76"/>
      <c r="AW119" s="77"/>
      <c r="AX119" s="76"/>
      <c r="AY119" s="76"/>
      <c r="AZ119" s="79"/>
      <c r="BA119" s="79"/>
    </row>
    <row r="120" spans="1:53" s="83" customFormat="1" ht="16.2" customHeight="1">
      <c r="A120" s="81"/>
      <c r="B120" s="81"/>
      <c r="C120" s="81"/>
      <c r="D120" s="81"/>
      <c r="E120" s="81"/>
      <c r="F120" s="81"/>
      <c r="G120" s="81"/>
      <c r="H120" s="81"/>
      <c r="I120" s="77"/>
      <c r="J120" s="114"/>
      <c r="K120" s="115"/>
      <c r="L120" s="81"/>
      <c r="M120" s="81"/>
      <c r="N120" s="113"/>
      <c r="O120" s="81"/>
      <c r="P120" s="81"/>
      <c r="Q120" s="81"/>
      <c r="R120" s="78"/>
      <c r="S120" s="78"/>
      <c r="T120" s="81"/>
      <c r="U120" s="78"/>
      <c r="V120" s="78"/>
      <c r="W120" s="78"/>
      <c r="X120" s="78"/>
      <c r="Y120" s="78"/>
      <c r="Z120" s="78"/>
      <c r="AA120" s="78"/>
      <c r="AB120" s="116"/>
      <c r="AC120" s="114"/>
      <c r="AD120" s="76"/>
      <c r="AE120" s="77"/>
      <c r="AF120" s="76"/>
      <c r="AG120" s="76"/>
      <c r="AH120" s="77"/>
      <c r="AI120" s="76"/>
      <c r="AJ120" s="76"/>
      <c r="AK120" s="77"/>
      <c r="AL120" s="76"/>
      <c r="AM120" s="76"/>
      <c r="AN120" s="77"/>
      <c r="AO120" s="76"/>
      <c r="AP120" s="76"/>
      <c r="AQ120" s="77"/>
      <c r="AR120" s="80"/>
      <c r="AS120" s="76"/>
      <c r="AT120" s="77"/>
      <c r="AU120" s="76"/>
      <c r="AV120" s="76"/>
      <c r="AW120" s="77"/>
      <c r="AX120" s="76"/>
      <c r="AY120" s="76"/>
      <c r="AZ120" s="79"/>
      <c r="BA120" s="79"/>
    </row>
    <row r="121" spans="1:53" s="83" customFormat="1" ht="16.2" customHeight="1">
      <c r="A121" s="81"/>
      <c r="B121" s="81"/>
      <c r="C121" s="81"/>
      <c r="D121" s="81"/>
      <c r="E121" s="81"/>
      <c r="F121" s="81"/>
      <c r="G121" s="81"/>
      <c r="H121" s="81"/>
      <c r="I121" s="77"/>
      <c r="J121" s="114"/>
      <c r="K121" s="115"/>
      <c r="L121" s="81"/>
      <c r="M121" s="81"/>
      <c r="N121" s="113"/>
      <c r="O121" s="81"/>
      <c r="P121" s="81"/>
      <c r="Q121" s="81"/>
      <c r="R121" s="78"/>
      <c r="S121" s="78"/>
      <c r="T121" s="81"/>
      <c r="U121" s="78"/>
      <c r="V121" s="78"/>
      <c r="W121" s="78"/>
      <c r="X121" s="78"/>
      <c r="Y121" s="78"/>
      <c r="Z121" s="78"/>
      <c r="AA121" s="78"/>
      <c r="AB121" s="116"/>
      <c r="AC121" s="114"/>
      <c r="AD121" s="76"/>
      <c r="AE121" s="77"/>
      <c r="AF121" s="76"/>
      <c r="AG121" s="76"/>
      <c r="AH121" s="77"/>
      <c r="AI121" s="76"/>
      <c r="AJ121" s="76"/>
      <c r="AK121" s="77"/>
      <c r="AL121" s="76"/>
      <c r="AM121" s="76"/>
      <c r="AN121" s="77"/>
      <c r="AO121" s="76"/>
      <c r="AP121" s="76"/>
      <c r="AQ121" s="77"/>
      <c r="AR121" s="80"/>
      <c r="AS121" s="76"/>
      <c r="AT121" s="77"/>
      <c r="AU121" s="76"/>
      <c r="AV121" s="76"/>
      <c r="AW121" s="77"/>
      <c r="AX121" s="76"/>
      <c r="AY121" s="76"/>
      <c r="AZ121" s="79"/>
      <c r="BA121" s="79"/>
    </row>
    <row r="122" spans="1:53" s="83" customFormat="1" ht="16.2" customHeight="1">
      <c r="A122" s="81"/>
      <c r="B122" s="81"/>
      <c r="C122" s="81"/>
      <c r="D122" s="81"/>
      <c r="E122" s="81"/>
      <c r="F122" s="81"/>
      <c r="G122" s="81"/>
      <c r="H122" s="81"/>
      <c r="I122" s="77"/>
      <c r="J122" s="114"/>
      <c r="K122" s="115"/>
      <c r="L122" s="81"/>
      <c r="M122" s="81"/>
      <c r="N122" s="113"/>
      <c r="O122" s="81"/>
      <c r="P122" s="81"/>
      <c r="Q122" s="81"/>
      <c r="R122" s="78"/>
      <c r="S122" s="78"/>
      <c r="T122" s="81"/>
      <c r="U122" s="78"/>
      <c r="V122" s="78"/>
      <c r="W122" s="78"/>
      <c r="X122" s="78"/>
      <c r="Y122" s="78"/>
      <c r="Z122" s="78"/>
      <c r="AA122" s="78"/>
      <c r="AB122" s="116"/>
      <c r="AC122" s="114"/>
      <c r="AD122" s="76"/>
      <c r="AE122" s="77"/>
      <c r="AF122" s="76"/>
      <c r="AG122" s="76"/>
      <c r="AH122" s="77"/>
      <c r="AI122" s="76"/>
      <c r="AJ122" s="76"/>
      <c r="AK122" s="77"/>
      <c r="AL122" s="76"/>
      <c r="AM122" s="76"/>
      <c r="AN122" s="77"/>
      <c r="AO122" s="76"/>
      <c r="AP122" s="76"/>
      <c r="AQ122" s="77"/>
      <c r="AR122" s="80"/>
      <c r="AS122" s="76"/>
      <c r="AT122" s="77"/>
      <c r="AU122" s="76"/>
      <c r="AV122" s="76"/>
      <c r="AW122" s="77"/>
      <c r="AX122" s="76"/>
      <c r="AY122" s="76"/>
      <c r="AZ122" s="79"/>
      <c r="BA122" s="79"/>
    </row>
    <row r="123" spans="1:53" s="83" customFormat="1" ht="16.2" customHeight="1">
      <c r="A123" s="81"/>
      <c r="B123" s="81"/>
      <c r="C123" s="81"/>
      <c r="D123" s="81"/>
      <c r="E123" s="81"/>
      <c r="F123" s="81"/>
      <c r="G123" s="81"/>
      <c r="H123" s="81"/>
      <c r="I123" s="77"/>
      <c r="J123" s="114"/>
      <c r="K123" s="115"/>
      <c r="L123" s="81"/>
      <c r="M123" s="81"/>
      <c r="N123" s="113"/>
      <c r="O123" s="81"/>
      <c r="P123" s="81"/>
      <c r="Q123" s="81"/>
      <c r="R123" s="78"/>
      <c r="S123" s="78"/>
      <c r="T123" s="81"/>
      <c r="U123" s="78"/>
      <c r="V123" s="78"/>
      <c r="W123" s="78"/>
      <c r="X123" s="78"/>
      <c r="Y123" s="78"/>
      <c r="Z123" s="78"/>
      <c r="AA123" s="78"/>
      <c r="AB123" s="116"/>
      <c r="AC123" s="114"/>
      <c r="AD123" s="76"/>
      <c r="AE123" s="77"/>
      <c r="AF123" s="76"/>
      <c r="AG123" s="76"/>
      <c r="AH123" s="77"/>
      <c r="AI123" s="76"/>
      <c r="AJ123" s="76"/>
      <c r="AK123" s="77"/>
      <c r="AL123" s="76"/>
      <c r="AM123" s="76"/>
      <c r="AN123" s="77"/>
      <c r="AO123" s="76"/>
      <c r="AP123" s="76"/>
      <c r="AQ123" s="77"/>
      <c r="AR123" s="80"/>
      <c r="AS123" s="76"/>
      <c r="AT123" s="77"/>
      <c r="AU123" s="76"/>
      <c r="AV123" s="76"/>
      <c r="AW123" s="77"/>
      <c r="AX123" s="76"/>
      <c r="AY123" s="76"/>
      <c r="AZ123" s="79"/>
      <c r="BA123" s="79"/>
    </row>
    <row r="124" spans="1:53" s="83" customFormat="1" ht="16.2" customHeight="1">
      <c r="A124" s="81"/>
      <c r="B124" s="81"/>
      <c r="C124" s="81"/>
      <c r="D124" s="81"/>
      <c r="E124" s="81"/>
      <c r="F124" s="81"/>
      <c r="G124" s="81"/>
      <c r="H124" s="81"/>
      <c r="I124" s="77"/>
      <c r="J124" s="114"/>
      <c r="K124" s="115"/>
      <c r="L124" s="81"/>
      <c r="M124" s="81"/>
      <c r="N124" s="113"/>
      <c r="O124" s="81"/>
      <c r="P124" s="81"/>
      <c r="Q124" s="81"/>
      <c r="R124" s="78"/>
      <c r="S124" s="78"/>
      <c r="T124" s="81"/>
      <c r="U124" s="78"/>
      <c r="V124" s="78"/>
      <c r="W124" s="78"/>
      <c r="X124" s="78"/>
      <c r="Y124" s="78"/>
      <c r="Z124" s="78"/>
      <c r="AA124" s="78"/>
      <c r="AB124" s="116"/>
      <c r="AC124" s="114"/>
      <c r="AD124" s="76"/>
      <c r="AE124" s="77"/>
      <c r="AF124" s="76"/>
      <c r="AG124" s="76"/>
      <c r="AH124" s="77"/>
      <c r="AI124" s="76"/>
      <c r="AJ124" s="76"/>
      <c r="AK124" s="77"/>
      <c r="AL124" s="76"/>
      <c r="AM124" s="76"/>
      <c r="AN124" s="77"/>
      <c r="AO124" s="76"/>
      <c r="AP124" s="76"/>
      <c r="AQ124" s="77"/>
      <c r="AR124" s="80"/>
      <c r="AS124" s="76"/>
      <c r="AT124" s="77"/>
      <c r="AU124" s="76"/>
      <c r="AV124" s="76"/>
      <c r="AW124" s="77"/>
      <c r="AX124" s="76"/>
      <c r="AY124" s="76"/>
      <c r="AZ124" s="79"/>
      <c r="BA124" s="79"/>
    </row>
    <row r="125" spans="1:53" s="83" customFormat="1" ht="16.2" customHeight="1">
      <c r="A125" s="81"/>
      <c r="B125" s="81"/>
      <c r="C125" s="81"/>
      <c r="D125" s="81"/>
      <c r="E125" s="81"/>
      <c r="F125" s="81"/>
      <c r="G125" s="81"/>
      <c r="H125" s="81"/>
      <c r="I125" s="77"/>
      <c r="J125" s="114"/>
      <c r="K125" s="115"/>
      <c r="L125" s="81"/>
      <c r="M125" s="81"/>
      <c r="N125" s="113"/>
      <c r="O125" s="81"/>
      <c r="P125" s="81"/>
      <c r="Q125" s="81"/>
      <c r="R125" s="78"/>
      <c r="S125" s="78"/>
      <c r="T125" s="81"/>
      <c r="U125" s="78"/>
      <c r="V125" s="78"/>
      <c r="W125" s="78"/>
      <c r="X125" s="78"/>
      <c r="Y125" s="78"/>
      <c r="Z125" s="78"/>
      <c r="AA125" s="78"/>
      <c r="AB125" s="116"/>
      <c r="AC125" s="114"/>
      <c r="AD125" s="76"/>
      <c r="AE125" s="77"/>
      <c r="AF125" s="76"/>
      <c r="AG125" s="76"/>
      <c r="AH125" s="77"/>
      <c r="AI125" s="76"/>
      <c r="AJ125" s="76"/>
      <c r="AK125" s="77"/>
      <c r="AL125" s="76"/>
      <c r="AM125" s="76"/>
      <c r="AN125" s="77"/>
      <c r="AO125" s="76"/>
      <c r="AP125" s="76"/>
      <c r="AQ125" s="77"/>
      <c r="AR125" s="80"/>
      <c r="AS125" s="76"/>
      <c r="AT125" s="77"/>
      <c r="AU125" s="76"/>
      <c r="AV125" s="76"/>
      <c r="AW125" s="77"/>
      <c r="AX125" s="76"/>
      <c r="AY125" s="76"/>
      <c r="AZ125" s="79"/>
      <c r="BA125" s="79"/>
    </row>
    <row r="126" spans="1:53" s="83" customFormat="1" ht="16.2" customHeight="1">
      <c r="A126" s="81"/>
      <c r="B126" s="81"/>
      <c r="C126" s="81"/>
      <c r="D126" s="81"/>
      <c r="E126" s="81"/>
      <c r="F126" s="81"/>
      <c r="G126" s="81"/>
      <c r="H126" s="81"/>
      <c r="I126" s="77"/>
      <c r="J126" s="114"/>
      <c r="K126" s="115"/>
      <c r="L126" s="81"/>
      <c r="M126" s="81"/>
      <c r="N126" s="113"/>
      <c r="O126" s="81"/>
      <c r="P126" s="81"/>
      <c r="Q126" s="81"/>
      <c r="R126" s="78"/>
      <c r="S126" s="78"/>
      <c r="T126" s="81"/>
      <c r="U126" s="78"/>
      <c r="V126" s="78"/>
      <c r="W126" s="78"/>
      <c r="X126" s="78"/>
      <c r="Y126" s="78"/>
      <c r="Z126" s="78"/>
      <c r="AA126" s="78"/>
      <c r="AB126" s="116"/>
      <c r="AC126" s="114"/>
      <c r="AD126" s="76"/>
      <c r="AE126" s="77"/>
      <c r="AF126" s="76"/>
      <c r="AG126" s="76"/>
      <c r="AH126" s="77"/>
      <c r="AI126" s="76"/>
      <c r="AJ126" s="76"/>
      <c r="AK126" s="77"/>
      <c r="AL126" s="76"/>
      <c r="AM126" s="76"/>
      <c r="AN126" s="77"/>
      <c r="AO126" s="76"/>
      <c r="AP126" s="76"/>
      <c r="AQ126" s="77"/>
      <c r="AR126" s="80"/>
      <c r="AS126" s="76"/>
      <c r="AT126" s="77"/>
      <c r="AU126" s="76"/>
      <c r="AV126" s="76"/>
      <c r="AW126" s="77"/>
      <c r="AX126" s="76"/>
      <c r="AY126" s="76"/>
      <c r="AZ126" s="79"/>
      <c r="BA126" s="79"/>
    </row>
    <row r="127" spans="1:53" s="83" customFormat="1" ht="16.2" customHeight="1">
      <c r="A127" s="81"/>
      <c r="B127" s="81"/>
      <c r="C127" s="81"/>
      <c r="D127" s="81"/>
      <c r="E127" s="81"/>
      <c r="F127" s="81"/>
      <c r="G127" s="81"/>
      <c r="H127" s="81"/>
      <c r="I127" s="77"/>
      <c r="J127" s="114"/>
      <c r="K127" s="115"/>
      <c r="L127" s="81"/>
      <c r="M127" s="81"/>
      <c r="N127" s="113"/>
      <c r="O127" s="81"/>
      <c r="P127" s="81"/>
      <c r="Q127" s="81"/>
      <c r="R127" s="78"/>
      <c r="S127" s="78"/>
      <c r="T127" s="81"/>
      <c r="U127" s="78"/>
      <c r="V127" s="78"/>
      <c r="W127" s="78"/>
      <c r="X127" s="78"/>
      <c r="Y127" s="78"/>
      <c r="Z127" s="78"/>
      <c r="AA127" s="78"/>
      <c r="AB127" s="116"/>
      <c r="AC127" s="114"/>
      <c r="AD127" s="76"/>
      <c r="AE127" s="77"/>
      <c r="AF127" s="76"/>
      <c r="AG127" s="76"/>
      <c r="AH127" s="77"/>
      <c r="AI127" s="76"/>
      <c r="AJ127" s="76"/>
      <c r="AK127" s="77"/>
      <c r="AL127" s="76"/>
      <c r="AM127" s="76"/>
      <c r="AN127" s="77"/>
      <c r="AO127" s="76"/>
      <c r="AP127" s="76"/>
      <c r="AQ127" s="77"/>
      <c r="AR127" s="80"/>
      <c r="AS127" s="76"/>
      <c r="AT127" s="77"/>
      <c r="AU127" s="76"/>
      <c r="AV127" s="76"/>
      <c r="AW127" s="77"/>
      <c r="AX127" s="76"/>
      <c r="AY127" s="76"/>
      <c r="AZ127" s="79"/>
      <c r="BA127" s="79"/>
    </row>
    <row r="128" spans="1:53" s="83" customFormat="1" ht="16.2" customHeight="1">
      <c r="A128" s="81"/>
      <c r="B128" s="81"/>
      <c r="C128" s="81"/>
      <c r="D128" s="81"/>
      <c r="E128" s="81"/>
      <c r="F128" s="81"/>
      <c r="G128" s="81"/>
      <c r="H128" s="81"/>
      <c r="I128" s="77"/>
      <c r="J128" s="114"/>
      <c r="K128" s="115"/>
      <c r="L128" s="81"/>
      <c r="M128" s="81"/>
      <c r="N128" s="113"/>
      <c r="O128" s="81"/>
      <c r="P128" s="81"/>
      <c r="Q128" s="81"/>
      <c r="R128" s="78"/>
      <c r="S128" s="78"/>
      <c r="T128" s="81"/>
      <c r="U128" s="78"/>
      <c r="V128" s="78"/>
      <c r="W128" s="78"/>
      <c r="X128" s="78"/>
      <c r="Y128" s="78"/>
      <c r="Z128" s="78"/>
      <c r="AA128" s="78"/>
      <c r="AB128" s="116"/>
      <c r="AC128" s="114"/>
      <c r="AD128" s="76"/>
      <c r="AE128" s="77"/>
      <c r="AF128" s="76"/>
      <c r="AG128" s="76"/>
      <c r="AH128" s="77"/>
      <c r="AI128" s="76"/>
      <c r="AJ128" s="76"/>
      <c r="AK128" s="77"/>
      <c r="AL128" s="76"/>
      <c r="AM128" s="76"/>
      <c r="AN128" s="77"/>
      <c r="AO128" s="76"/>
      <c r="AP128" s="76"/>
      <c r="AQ128" s="77"/>
      <c r="AR128" s="80"/>
      <c r="AS128" s="76"/>
      <c r="AT128" s="77"/>
      <c r="AU128" s="76"/>
      <c r="AV128" s="76"/>
      <c r="AW128" s="77"/>
      <c r="AX128" s="76"/>
      <c r="AY128" s="76"/>
      <c r="AZ128" s="79"/>
      <c r="BA128" s="79"/>
    </row>
    <row r="129" spans="1:53" s="83" customFormat="1" ht="16.2" customHeight="1">
      <c r="A129" s="81"/>
      <c r="B129" s="81"/>
      <c r="C129" s="81"/>
      <c r="D129" s="81"/>
      <c r="E129" s="81"/>
      <c r="F129" s="81"/>
      <c r="G129" s="81"/>
      <c r="H129" s="81"/>
      <c r="I129" s="77"/>
      <c r="J129" s="114"/>
      <c r="K129" s="115"/>
      <c r="L129" s="81"/>
      <c r="M129" s="81"/>
      <c r="N129" s="113"/>
      <c r="O129" s="81"/>
      <c r="P129" s="81"/>
      <c r="Q129" s="81"/>
      <c r="R129" s="78"/>
      <c r="S129" s="78"/>
      <c r="T129" s="81"/>
      <c r="U129" s="78"/>
      <c r="V129" s="78"/>
      <c r="W129" s="78"/>
      <c r="X129" s="78"/>
      <c r="Y129" s="78"/>
      <c r="Z129" s="78"/>
      <c r="AA129" s="78"/>
      <c r="AB129" s="116"/>
      <c r="AC129" s="114"/>
      <c r="AD129" s="76"/>
      <c r="AE129" s="77"/>
      <c r="AF129" s="76"/>
      <c r="AG129" s="76"/>
      <c r="AH129" s="77"/>
      <c r="AI129" s="76"/>
      <c r="AJ129" s="76"/>
      <c r="AK129" s="77"/>
      <c r="AL129" s="76"/>
      <c r="AM129" s="76"/>
      <c r="AN129" s="77"/>
      <c r="AO129" s="76"/>
      <c r="AP129" s="76"/>
      <c r="AQ129" s="77"/>
      <c r="AR129" s="80"/>
      <c r="AS129" s="76"/>
      <c r="AT129" s="77"/>
      <c r="AU129" s="76"/>
      <c r="AV129" s="76"/>
      <c r="AW129" s="77"/>
      <c r="AX129" s="76"/>
      <c r="AY129" s="76"/>
      <c r="AZ129" s="79"/>
      <c r="BA129" s="79"/>
    </row>
    <row r="130" spans="1:53" s="83" customFormat="1" ht="16.2" customHeight="1">
      <c r="A130" s="81"/>
      <c r="B130" s="81"/>
      <c r="C130" s="81"/>
      <c r="D130" s="81"/>
      <c r="E130" s="81"/>
      <c r="F130" s="81"/>
      <c r="G130" s="81"/>
      <c r="H130" s="81"/>
      <c r="I130" s="77"/>
      <c r="J130" s="114"/>
      <c r="K130" s="115"/>
      <c r="L130" s="81"/>
      <c r="M130" s="81"/>
      <c r="N130" s="113"/>
      <c r="O130" s="81"/>
      <c r="P130" s="81"/>
      <c r="Q130" s="81"/>
      <c r="R130" s="78"/>
      <c r="S130" s="78"/>
      <c r="T130" s="81"/>
      <c r="U130" s="78"/>
      <c r="V130" s="78"/>
      <c r="W130" s="78"/>
      <c r="X130" s="78"/>
      <c r="Y130" s="78"/>
      <c r="Z130" s="78"/>
      <c r="AA130" s="78"/>
      <c r="AB130" s="116"/>
      <c r="AC130" s="114"/>
      <c r="AD130" s="76"/>
      <c r="AE130" s="77"/>
      <c r="AF130" s="76"/>
      <c r="AG130" s="76"/>
      <c r="AH130" s="77"/>
      <c r="AI130" s="76"/>
      <c r="AJ130" s="76"/>
      <c r="AK130" s="77"/>
      <c r="AL130" s="76"/>
      <c r="AM130" s="76"/>
      <c r="AN130" s="77"/>
      <c r="AO130" s="76"/>
      <c r="AP130" s="76"/>
      <c r="AQ130" s="77"/>
      <c r="AR130" s="80"/>
      <c r="AS130" s="76"/>
      <c r="AT130" s="77"/>
      <c r="AU130" s="76"/>
      <c r="AV130" s="76"/>
      <c r="AW130" s="77"/>
      <c r="AX130" s="76"/>
      <c r="AY130" s="76"/>
      <c r="AZ130" s="79"/>
      <c r="BA130" s="79"/>
    </row>
    <row r="131" spans="1:53" s="83" customFormat="1" ht="16.2" customHeight="1">
      <c r="A131" s="81"/>
      <c r="B131" s="81"/>
      <c r="C131" s="81"/>
      <c r="D131" s="81"/>
      <c r="E131" s="81"/>
      <c r="F131" s="81"/>
      <c r="G131" s="81"/>
      <c r="H131" s="81"/>
      <c r="I131" s="77"/>
      <c r="J131" s="114"/>
      <c r="K131" s="115"/>
      <c r="L131" s="81"/>
      <c r="M131" s="81"/>
      <c r="N131" s="113"/>
      <c r="O131" s="81"/>
      <c r="P131" s="81"/>
      <c r="Q131" s="81"/>
      <c r="R131" s="78"/>
      <c r="S131" s="78"/>
      <c r="T131" s="81"/>
      <c r="U131" s="78"/>
      <c r="V131" s="78"/>
      <c r="W131" s="78"/>
      <c r="X131" s="78"/>
      <c r="Y131" s="78"/>
      <c r="Z131" s="78"/>
      <c r="AA131" s="78"/>
      <c r="AB131" s="116"/>
      <c r="AC131" s="114"/>
      <c r="AD131" s="76"/>
      <c r="AE131" s="77"/>
      <c r="AF131" s="76"/>
      <c r="AG131" s="76"/>
      <c r="AH131" s="77"/>
      <c r="AI131" s="76"/>
      <c r="AJ131" s="76"/>
      <c r="AK131" s="77"/>
      <c r="AL131" s="76"/>
      <c r="AM131" s="76"/>
      <c r="AN131" s="77"/>
      <c r="AO131" s="76"/>
      <c r="AP131" s="76"/>
      <c r="AQ131" s="77"/>
      <c r="AR131" s="80"/>
      <c r="AS131" s="76"/>
      <c r="AT131" s="77"/>
      <c r="AU131" s="76"/>
      <c r="AV131" s="76"/>
      <c r="AW131" s="77"/>
      <c r="AX131" s="76"/>
      <c r="AY131" s="76"/>
      <c r="AZ131" s="79"/>
      <c r="BA131" s="79"/>
    </row>
    <row r="132" spans="1:53" s="83" customFormat="1" ht="16.2" customHeight="1">
      <c r="A132" s="81"/>
      <c r="B132" s="81"/>
      <c r="C132" s="81"/>
      <c r="D132" s="81"/>
      <c r="E132" s="81"/>
      <c r="F132" s="81"/>
      <c r="G132" s="81"/>
      <c r="H132" s="81"/>
      <c r="I132" s="77"/>
      <c r="J132" s="114"/>
      <c r="K132" s="115"/>
      <c r="L132" s="81"/>
      <c r="M132" s="81"/>
      <c r="N132" s="113"/>
      <c r="O132" s="81"/>
      <c r="P132" s="81"/>
      <c r="Q132" s="81"/>
      <c r="R132" s="78"/>
      <c r="S132" s="78"/>
      <c r="T132" s="81"/>
      <c r="U132" s="78"/>
      <c r="V132" s="78"/>
      <c r="W132" s="78"/>
      <c r="X132" s="78"/>
      <c r="Y132" s="78"/>
      <c r="Z132" s="78"/>
      <c r="AA132" s="78"/>
      <c r="AB132" s="116"/>
      <c r="AC132" s="114"/>
      <c r="AD132" s="76"/>
      <c r="AE132" s="77"/>
      <c r="AF132" s="76"/>
      <c r="AG132" s="76"/>
      <c r="AH132" s="77"/>
      <c r="AI132" s="76"/>
      <c r="AJ132" s="76"/>
      <c r="AK132" s="77"/>
      <c r="AL132" s="76"/>
      <c r="AM132" s="76"/>
      <c r="AN132" s="77"/>
      <c r="AO132" s="76"/>
      <c r="AP132" s="76"/>
      <c r="AQ132" s="77"/>
      <c r="AR132" s="80"/>
      <c r="AS132" s="76"/>
      <c r="AT132" s="77"/>
      <c r="AU132" s="76"/>
      <c r="AV132" s="76"/>
      <c r="AW132" s="77"/>
      <c r="AX132" s="76"/>
      <c r="AY132" s="76"/>
      <c r="AZ132" s="79"/>
      <c r="BA132" s="79"/>
    </row>
    <row r="133" spans="1:53" s="83" customFormat="1" ht="16.2" customHeight="1">
      <c r="A133" s="81"/>
      <c r="B133" s="81"/>
      <c r="C133" s="81"/>
      <c r="D133" s="81"/>
      <c r="E133" s="81"/>
      <c r="F133" s="81"/>
      <c r="G133" s="81"/>
      <c r="H133" s="81"/>
      <c r="I133" s="77"/>
      <c r="J133" s="114"/>
      <c r="K133" s="115"/>
      <c r="L133" s="81"/>
      <c r="M133" s="81"/>
      <c r="N133" s="113"/>
      <c r="O133" s="81"/>
      <c r="P133" s="81"/>
      <c r="Q133" s="81"/>
      <c r="R133" s="78"/>
      <c r="S133" s="78"/>
      <c r="T133" s="81"/>
      <c r="U133" s="78"/>
      <c r="V133" s="78"/>
      <c r="W133" s="78"/>
      <c r="X133" s="78"/>
      <c r="Y133" s="78"/>
      <c r="Z133" s="78"/>
      <c r="AA133" s="78"/>
      <c r="AB133" s="116"/>
      <c r="AC133" s="114"/>
      <c r="AD133" s="76"/>
      <c r="AE133" s="77"/>
      <c r="AF133" s="76"/>
      <c r="AG133" s="76"/>
      <c r="AH133" s="77"/>
      <c r="AI133" s="76"/>
      <c r="AJ133" s="76"/>
      <c r="AK133" s="77"/>
      <c r="AL133" s="76"/>
      <c r="AM133" s="76"/>
      <c r="AN133" s="77"/>
      <c r="AO133" s="76"/>
      <c r="AP133" s="76"/>
      <c r="AQ133" s="77"/>
      <c r="AR133" s="80"/>
      <c r="AS133" s="76"/>
      <c r="AT133" s="77"/>
      <c r="AU133" s="76"/>
      <c r="AV133" s="76"/>
      <c r="AW133" s="77"/>
      <c r="AX133" s="76"/>
      <c r="AY133" s="76"/>
      <c r="AZ133" s="79"/>
      <c r="BA133" s="79"/>
    </row>
    <row r="134" spans="1:53" s="83" customFormat="1" ht="16.2" customHeight="1">
      <c r="A134" s="81"/>
      <c r="B134" s="81"/>
      <c r="C134" s="81"/>
      <c r="D134" s="81"/>
      <c r="E134" s="81"/>
      <c r="F134" s="81"/>
      <c r="G134" s="81"/>
      <c r="H134" s="81"/>
      <c r="I134" s="77"/>
      <c r="J134" s="114"/>
      <c r="K134" s="115"/>
      <c r="L134" s="81"/>
      <c r="M134" s="81"/>
      <c r="N134" s="113"/>
      <c r="O134" s="81"/>
      <c r="P134" s="81"/>
      <c r="Q134" s="81"/>
      <c r="R134" s="78"/>
      <c r="S134" s="78"/>
      <c r="T134" s="81"/>
      <c r="U134" s="78"/>
      <c r="V134" s="78"/>
      <c r="W134" s="78"/>
      <c r="X134" s="78"/>
      <c r="Y134" s="78"/>
      <c r="Z134" s="78"/>
      <c r="AA134" s="78"/>
      <c r="AB134" s="116"/>
      <c r="AC134" s="114"/>
      <c r="AD134" s="76"/>
      <c r="AE134" s="77"/>
      <c r="AF134" s="76"/>
      <c r="AG134" s="76"/>
      <c r="AH134" s="77"/>
      <c r="AI134" s="76"/>
      <c r="AJ134" s="76"/>
      <c r="AK134" s="77"/>
      <c r="AL134" s="76"/>
      <c r="AM134" s="76"/>
      <c r="AN134" s="77"/>
      <c r="AO134" s="76"/>
      <c r="AP134" s="76"/>
      <c r="AQ134" s="77"/>
      <c r="AR134" s="80"/>
      <c r="AS134" s="76"/>
      <c r="AT134" s="77"/>
      <c r="AU134" s="76"/>
      <c r="AV134" s="76"/>
      <c r="AW134" s="77"/>
      <c r="AX134" s="76"/>
      <c r="AY134" s="76"/>
      <c r="AZ134" s="79"/>
      <c r="BA134" s="79"/>
    </row>
    <row r="135" spans="1:53" s="83" customFormat="1" ht="16.2" customHeight="1">
      <c r="A135" s="81"/>
      <c r="B135" s="81"/>
      <c r="C135" s="81"/>
      <c r="D135" s="81"/>
      <c r="E135" s="81"/>
      <c r="F135" s="81"/>
      <c r="G135" s="81"/>
      <c r="H135" s="81"/>
      <c r="I135" s="77"/>
      <c r="J135" s="114"/>
      <c r="K135" s="115"/>
      <c r="L135" s="81"/>
      <c r="M135" s="81"/>
      <c r="N135" s="113"/>
      <c r="O135" s="81"/>
      <c r="P135" s="81"/>
      <c r="Q135" s="81"/>
      <c r="R135" s="78"/>
      <c r="S135" s="78"/>
      <c r="T135" s="81"/>
      <c r="U135" s="78"/>
      <c r="V135" s="78"/>
      <c r="W135" s="78"/>
      <c r="X135" s="78"/>
      <c r="Y135" s="78"/>
      <c r="Z135" s="78"/>
      <c r="AA135" s="78"/>
      <c r="AB135" s="116"/>
      <c r="AC135" s="114"/>
      <c r="AD135" s="76"/>
      <c r="AE135" s="77"/>
      <c r="AF135" s="76"/>
      <c r="AG135" s="76"/>
      <c r="AH135" s="77"/>
      <c r="AI135" s="76"/>
      <c r="AJ135" s="76"/>
      <c r="AK135" s="77"/>
      <c r="AL135" s="76"/>
      <c r="AM135" s="76"/>
      <c r="AN135" s="77"/>
      <c r="AO135" s="76"/>
      <c r="AP135" s="76"/>
      <c r="AQ135" s="77"/>
      <c r="AR135" s="80"/>
      <c r="AS135" s="76"/>
      <c r="AT135" s="77"/>
      <c r="AU135" s="76"/>
      <c r="AV135" s="76"/>
      <c r="AW135" s="77"/>
      <c r="AX135" s="76"/>
      <c r="AY135" s="76"/>
      <c r="AZ135" s="79"/>
      <c r="BA135" s="79"/>
    </row>
    <row r="136" spans="1:53" s="83" customFormat="1" ht="16.2" customHeight="1">
      <c r="A136" s="81"/>
      <c r="B136" s="81"/>
      <c r="C136" s="81"/>
      <c r="D136" s="81"/>
      <c r="E136" s="81"/>
      <c r="F136" s="81"/>
      <c r="G136" s="81"/>
      <c r="H136" s="81"/>
      <c r="I136" s="77"/>
      <c r="J136" s="114"/>
      <c r="K136" s="115"/>
      <c r="L136" s="81"/>
      <c r="M136" s="81"/>
      <c r="N136" s="113"/>
      <c r="O136" s="81"/>
      <c r="P136" s="81"/>
      <c r="Q136" s="81"/>
      <c r="R136" s="78"/>
      <c r="S136" s="78"/>
      <c r="T136" s="81"/>
      <c r="U136" s="78"/>
      <c r="V136" s="78"/>
      <c r="W136" s="78"/>
      <c r="X136" s="78"/>
      <c r="Y136" s="78"/>
      <c r="Z136" s="78"/>
      <c r="AA136" s="78"/>
      <c r="AB136" s="116"/>
      <c r="AC136" s="114"/>
      <c r="AD136" s="76"/>
      <c r="AE136" s="77"/>
      <c r="AF136" s="76"/>
      <c r="AG136" s="76"/>
      <c r="AH136" s="77"/>
      <c r="AI136" s="76"/>
      <c r="AJ136" s="76"/>
      <c r="AK136" s="77"/>
      <c r="AL136" s="76"/>
      <c r="AM136" s="76"/>
      <c r="AN136" s="77"/>
      <c r="AO136" s="76"/>
      <c r="AP136" s="76"/>
      <c r="AQ136" s="77"/>
      <c r="AR136" s="80"/>
      <c r="AS136" s="76"/>
      <c r="AT136" s="77"/>
      <c r="AU136" s="76"/>
      <c r="AV136" s="76"/>
      <c r="AW136" s="77"/>
      <c r="AX136" s="76"/>
      <c r="AY136" s="76"/>
      <c r="AZ136" s="79"/>
      <c r="BA136" s="79"/>
    </row>
    <row r="137" spans="1:53" s="83" customFormat="1" ht="16.2" customHeight="1">
      <c r="A137" s="81"/>
      <c r="B137" s="81"/>
      <c r="C137" s="81"/>
      <c r="D137" s="81"/>
      <c r="E137" s="81"/>
      <c r="F137" s="81"/>
      <c r="G137" s="81"/>
      <c r="H137" s="81"/>
      <c r="I137" s="77"/>
      <c r="J137" s="114"/>
      <c r="K137" s="115"/>
      <c r="L137" s="81"/>
      <c r="M137" s="81"/>
      <c r="N137" s="113"/>
      <c r="O137" s="81"/>
      <c r="P137" s="81"/>
      <c r="Q137" s="81"/>
      <c r="R137" s="78"/>
      <c r="S137" s="78"/>
      <c r="T137" s="81"/>
      <c r="U137" s="78"/>
      <c r="V137" s="78"/>
      <c r="W137" s="78"/>
      <c r="X137" s="78"/>
      <c r="Y137" s="78"/>
      <c r="Z137" s="78"/>
      <c r="AA137" s="78"/>
      <c r="AB137" s="116"/>
      <c r="AC137" s="114"/>
      <c r="AD137" s="76"/>
      <c r="AE137" s="77"/>
      <c r="AF137" s="76"/>
      <c r="AG137" s="76"/>
      <c r="AH137" s="77"/>
      <c r="AI137" s="76"/>
      <c r="AJ137" s="76"/>
      <c r="AK137" s="77"/>
      <c r="AL137" s="76"/>
      <c r="AM137" s="76"/>
      <c r="AN137" s="77"/>
      <c r="AO137" s="76"/>
      <c r="AP137" s="76"/>
      <c r="AQ137" s="77"/>
      <c r="AR137" s="80"/>
      <c r="AS137" s="76"/>
      <c r="AT137" s="77"/>
      <c r="AU137" s="76"/>
      <c r="AV137" s="76"/>
      <c r="AW137" s="77"/>
      <c r="AX137" s="76"/>
      <c r="AY137" s="76"/>
      <c r="AZ137" s="79"/>
      <c r="BA137" s="79"/>
    </row>
    <row r="138" spans="1:53" s="83" customFormat="1" ht="16.2" customHeight="1">
      <c r="A138" s="81"/>
      <c r="B138" s="81"/>
      <c r="C138" s="81"/>
      <c r="D138" s="81"/>
      <c r="E138" s="81"/>
      <c r="F138" s="81"/>
      <c r="G138" s="81"/>
      <c r="H138" s="81"/>
      <c r="I138" s="77"/>
      <c r="J138" s="114"/>
      <c r="K138" s="115"/>
      <c r="L138" s="81"/>
      <c r="M138" s="81"/>
      <c r="N138" s="113"/>
      <c r="O138" s="81"/>
      <c r="P138" s="81"/>
      <c r="Q138" s="81"/>
      <c r="R138" s="78"/>
      <c r="S138" s="78"/>
      <c r="T138" s="81"/>
      <c r="U138" s="78"/>
      <c r="V138" s="78"/>
      <c r="W138" s="78"/>
      <c r="X138" s="78"/>
      <c r="Y138" s="78"/>
      <c r="Z138" s="78"/>
      <c r="AA138" s="78"/>
      <c r="AB138" s="116"/>
      <c r="AC138" s="114"/>
      <c r="AD138" s="76"/>
      <c r="AE138" s="77"/>
      <c r="AF138" s="76"/>
      <c r="AG138" s="76"/>
      <c r="AH138" s="77"/>
      <c r="AI138" s="76"/>
      <c r="AJ138" s="76"/>
      <c r="AK138" s="77"/>
      <c r="AL138" s="76"/>
      <c r="AM138" s="76"/>
      <c r="AN138" s="77"/>
      <c r="AO138" s="76"/>
      <c r="AP138" s="76"/>
      <c r="AQ138" s="77"/>
      <c r="AR138" s="80"/>
      <c r="AS138" s="76"/>
      <c r="AT138" s="77"/>
      <c r="AU138" s="76"/>
      <c r="AV138" s="76"/>
      <c r="AW138" s="77"/>
      <c r="AX138" s="76"/>
      <c r="AY138" s="76"/>
      <c r="AZ138" s="79"/>
      <c r="BA138" s="79"/>
    </row>
    <row r="139" spans="1:53" s="83" customFormat="1" ht="16.2" customHeight="1">
      <c r="A139" s="81"/>
      <c r="B139" s="81"/>
      <c r="C139" s="81"/>
      <c r="D139" s="81"/>
      <c r="E139" s="81"/>
      <c r="F139" s="81"/>
      <c r="G139" s="81"/>
      <c r="H139" s="81"/>
      <c r="I139" s="77"/>
      <c r="J139" s="114"/>
      <c r="K139" s="115"/>
      <c r="L139" s="81"/>
      <c r="M139" s="81"/>
      <c r="N139" s="113"/>
      <c r="O139" s="81"/>
      <c r="P139" s="81"/>
      <c r="Q139" s="81"/>
      <c r="R139" s="78"/>
      <c r="S139" s="78"/>
      <c r="T139" s="81"/>
      <c r="U139" s="78"/>
      <c r="V139" s="78"/>
      <c r="W139" s="78"/>
      <c r="X139" s="78"/>
      <c r="Y139" s="78"/>
      <c r="Z139" s="78"/>
      <c r="AA139" s="78"/>
      <c r="AB139" s="116"/>
      <c r="AC139" s="114"/>
      <c r="AD139" s="76"/>
      <c r="AE139" s="77"/>
      <c r="AF139" s="76"/>
      <c r="AG139" s="76"/>
      <c r="AH139" s="77"/>
      <c r="AI139" s="76"/>
      <c r="AJ139" s="76"/>
      <c r="AK139" s="77"/>
      <c r="AL139" s="76"/>
      <c r="AM139" s="76"/>
      <c r="AN139" s="77"/>
      <c r="AO139" s="76"/>
      <c r="AP139" s="76"/>
      <c r="AQ139" s="77"/>
      <c r="AR139" s="80"/>
      <c r="AS139" s="76"/>
      <c r="AT139" s="77"/>
      <c r="AU139" s="76"/>
      <c r="AV139" s="76"/>
      <c r="AW139" s="77"/>
      <c r="AX139" s="76"/>
      <c r="AY139" s="76"/>
      <c r="AZ139" s="79"/>
      <c r="BA139" s="79"/>
    </row>
    <row r="140" spans="1:53" s="83" customFormat="1" ht="16.2" customHeight="1">
      <c r="A140" s="81"/>
      <c r="B140" s="81"/>
      <c r="C140" s="81"/>
      <c r="D140" s="81"/>
      <c r="E140" s="81"/>
      <c r="F140" s="81"/>
      <c r="G140" s="81"/>
      <c r="H140" s="81"/>
      <c r="I140" s="77"/>
      <c r="J140" s="114"/>
      <c r="K140" s="115"/>
      <c r="L140" s="81"/>
      <c r="M140" s="81"/>
      <c r="N140" s="113"/>
      <c r="O140" s="81"/>
      <c r="P140" s="81"/>
      <c r="Q140" s="81"/>
      <c r="R140" s="78"/>
      <c r="S140" s="78"/>
      <c r="T140" s="81"/>
      <c r="U140" s="78"/>
      <c r="V140" s="78"/>
      <c r="W140" s="78"/>
      <c r="X140" s="78"/>
      <c r="Y140" s="78"/>
      <c r="Z140" s="78"/>
      <c r="AA140" s="78"/>
      <c r="AB140" s="116"/>
      <c r="AC140" s="114"/>
      <c r="AD140" s="76"/>
      <c r="AE140" s="77"/>
      <c r="AF140" s="76"/>
      <c r="AG140" s="76"/>
      <c r="AH140" s="77"/>
      <c r="AI140" s="76"/>
      <c r="AJ140" s="76"/>
      <c r="AK140" s="77"/>
      <c r="AL140" s="76"/>
      <c r="AM140" s="76"/>
      <c r="AN140" s="77"/>
      <c r="AO140" s="76"/>
      <c r="AP140" s="76"/>
      <c r="AQ140" s="77"/>
      <c r="AR140" s="80"/>
      <c r="AS140" s="76"/>
      <c r="AT140" s="77"/>
      <c r="AU140" s="76"/>
      <c r="AV140" s="76"/>
      <c r="AW140" s="77"/>
      <c r="AX140" s="76"/>
      <c r="AY140" s="76"/>
      <c r="AZ140" s="79"/>
      <c r="BA140" s="79"/>
    </row>
    <row r="141" spans="1:53" s="83" customFormat="1" ht="16.2" customHeight="1">
      <c r="A141" s="81"/>
      <c r="B141" s="81"/>
      <c r="C141" s="81"/>
      <c r="D141" s="81"/>
      <c r="E141" s="81"/>
      <c r="F141" s="81"/>
      <c r="G141" s="81"/>
      <c r="H141" s="81"/>
      <c r="I141" s="77"/>
      <c r="J141" s="114"/>
      <c r="K141" s="115"/>
      <c r="L141" s="81"/>
      <c r="M141" s="81"/>
      <c r="N141" s="113"/>
      <c r="O141" s="81"/>
      <c r="P141" s="81"/>
      <c r="Q141" s="81"/>
      <c r="R141" s="78"/>
      <c r="S141" s="78"/>
      <c r="T141" s="81"/>
      <c r="U141" s="78"/>
      <c r="V141" s="78"/>
      <c r="W141" s="78"/>
      <c r="X141" s="78"/>
      <c r="Y141" s="78"/>
      <c r="Z141" s="78"/>
      <c r="AA141" s="78"/>
      <c r="AB141" s="116"/>
      <c r="AC141" s="114"/>
      <c r="AD141" s="76"/>
      <c r="AE141" s="77"/>
      <c r="AF141" s="76"/>
      <c r="AG141" s="76"/>
      <c r="AH141" s="77"/>
      <c r="AI141" s="76"/>
      <c r="AJ141" s="76"/>
      <c r="AK141" s="77"/>
      <c r="AL141" s="76"/>
      <c r="AM141" s="76"/>
      <c r="AN141" s="77"/>
      <c r="AO141" s="76"/>
      <c r="AP141" s="76"/>
      <c r="AQ141" s="77"/>
      <c r="AR141" s="80"/>
      <c r="AS141" s="76"/>
      <c r="AT141" s="77"/>
      <c r="AU141" s="76"/>
      <c r="AV141" s="76"/>
      <c r="AW141" s="77"/>
      <c r="AX141" s="76"/>
      <c r="AY141" s="76"/>
      <c r="AZ141" s="79"/>
      <c r="BA141" s="79"/>
    </row>
    <row r="142" spans="1:53" s="83" customFormat="1" ht="16.2" customHeight="1">
      <c r="A142" s="81"/>
      <c r="B142" s="81"/>
      <c r="C142" s="81"/>
      <c r="D142" s="81"/>
      <c r="E142" s="81"/>
      <c r="F142" s="81"/>
      <c r="G142" s="81"/>
      <c r="H142" s="81"/>
      <c r="I142" s="77"/>
      <c r="J142" s="114"/>
      <c r="K142" s="115"/>
      <c r="L142" s="81"/>
      <c r="M142" s="81"/>
      <c r="N142" s="113"/>
      <c r="O142" s="81"/>
      <c r="P142" s="81"/>
      <c r="Q142" s="81"/>
      <c r="R142" s="78"/>
      <c r="S142" s="78"/>
      <c r="T142" s="81"/>
      <c r="U142" s="78"/>
      <c r="V142" s="78"/>
      <c r="W142" s="78"/>
      <c r="X142" s="78"/>
      <c r="Y142" s="78"/>
      <c r="Z142" s="78"/>
      <c r="AA142" s="78"/>
      <c r="AB142" s="116"/>
      <c r="AC142" s="114"/>
      <c r="AD142" s="76"/>
      <c r="AE142" s="77"/>
      <c r="AF142" s="76"/>
      <c r="AG142" s="76"/>
      <c r="AH142" s="77"/>
      <c r="AI142" s="76"/>
      <c r="AJ142" s="76"/>
      <c r="AK142" s="77"/>
      <c r="AL142" s="76"/>
      <c r="AM142" s="76"/>
      <c r="AN142" s="77"/>
      <c r="AO142" s="76"/>
      <c r="AP142" s="76"/>
      <c r="AQ142" s="77"/>
      <c r="AR142" s="80"/>
      <c r="AS142" s="76"/>
      <c r="AT142" s="77"/>
      <c r="AU142" s="76"/>
      <c r="AV142" s="76"/>
      <c r="AW142" s="77"/>
      <c r="AX142" s="76"/>
      <c r="AY142" s="76"/>
      <c r="AZ142" s="79"/>
      <c r="BA142" s="79"/>
    </row>
    <row r="143" spans="1:53" s="83" customFormat="1" ht="16.2" customHeight="1">
      <c r="A143" s="81"/>
      <c r="B143" s="81"/>
      <c r="C143" s="81"/>
      <c r="D143" s="81"/>
      <c r="E143" s="81"/>
      <c r="F143" s="81"/>
      <c r="G143" s="81"/>
      <c r="H143" s="81"/>
      <c r="I143" s="77"/>
      <c r="J143" s="114"/>
      <c r="K143" s="115"/>
      <c r="L143" s="81"/>
      <c r="M143" s="81"/>
      <c r="N143" s="113"/>
      <c r="O143" s="81"/>
      <c r="P143" s="81"/>
      <c r="Q143" s="81"/>
      <c r="R143" s="78"/>
      <c r="S143" s="78"/>
      <c r="T143" s="81"/>
      <c r="U143" s="78"/>
      <c r="V143" s="78"/>
      <c r="W143" s="78"/>
      <c r="X143" s="78"/>
      <c r="Y143" s="78"/>
      <c r="Z143" s="78"/>
      <c r="AA143" s="78"/>
      <c r="AB143" s="116"/>
      <c r="AC143" s="114"/>
      <c r="AD143" s="76"/>
      <c r="AE143" s="77"/>
      <c r="AF143" s="76"/>
      <c r="AG143" s="76"/>
      <c r="AH143" s="77"/>
      <c r="AI143" s="76"/>
      <c r="AJ143" s="76"/>
      <c r="AK143" s="77"/>
      <c r="AL143" s="76"/>
      <c r="AM143" s="76"/>
      <c r="AN143" s="77"/>
      <c r="AO143" s="76"/>
      <c r="AP143" s="76"/>
      <c r="AQ143" s="77"/>
      <c r="AR143" s="80"/>
      <c r="AS143" s="76"/>
      <c r="AT143" s="77"/>
      <c r="AU143" s="76"/>
      <c r="AV143" s="76"/>
      <c r="AW143" s="77"/>
      <c r="AX143" s="76"/>
      <c r="AY143" s="76"/>
      <c r="AZ143" s="79"/>
      <c r="BA143" s="79"/>
    </row>
    <row r="144" spans="1:53" s="83" customFormat="1" ht="16.2" customHeight="1">
      <c r="A144" s="81"/>
      <c r="B144" s="81"/>
      <c r="C144" s="81"/>
      <c r="D144" s="81"/>
      <c r="E144" s="81"/>
      <c r="F144" s="81"/>
      <c r="G144" s="81"/>
      <c r="H144" s="81"/>
      <c r="I144" s="77"/>
      <c r="J144" s="114"/>
      <c r="K144" s="115"/>
      <c r="L144" s="81"/>
      <c r="M144" s="81"/>
      <c r="N144" s="113"/>
      <c r="O144" s="81"/>
      <c r="P144" s="81"/>
      <c r="Q144" s="81"/>
      <c r="R144" s="78"/>
      <c r="S144" s="78"/>
      <c r="T144" s="81"/>
      <c r="U144" s="78"/>
      <c r="V144" s="78"/>
      <c r="W144" s="78"/>
      <c r="X144" s="78"/>
      <c r="Y144" s="78"/>
      <c r="Z144" s="78"/>
      <c r="AA144" s="78"/>
      <c r="AB144" s="116"/>
      <c r="AC144" s="114"/>
      <c r="AD144" s="76"/>
      <c r="AE144" s="77"/>
      <c r="AF144" s="76"/>
      <c r="AG144" s="76"/>
      <c r="AH144" s="77"/>
      <c r="AI144" s="76"/>
      <c r="AJ144" s="76"/>
      <c r="AK144" s="77"/>
      <c r="AL144" s="76"/>
      <c r="AM144" s="76"/>
      <c r="AN144" s="77"/>
      <c r="AO144" s="76"/>
      <c r="AP144" s="76"/>
      <c r="AQ144" s="77"/>
      <c r="AR144" s="80"/>
      <c r="AS144" s="76"/>
      <c r="AT144" s="77"/>
      <c r="AU144" s="76"/>
      <c r="AV144" s="76"/>
      <c r="AW144" s="77"/>
      <c r="AX144" s="76"/>
      <c r="AY144" s="76"/>
      <c r="AZ144" s="79"/>
      <c r="BA144" s="79"/>
    </row>
    <row r="145" spans="1:53" s="83" customFormat="1" ht="16.2" customHeight="1">
      <c r="A145" s="81"/>
      <c r="B145" s="81"/>
      <c r="C145" s="81"/>
      <c r="D145" s="81"/>
      <c r="E145" s="81"/>
      <c r="F145" s="81"/>
      <c r="G145" s="81"/>
      <c r="H145" s="81"/>
      <c r="I145" s="77"/>
      <c r="J145" s="114"/>
      <c r="K145" s="115"/>
      <c r="L145" s="81"/>
      <c r="M145" s="81"/>
      <c r="N145" s="113"/>
      <c r="O145" s="81"/>
      <c r="P145" s="81"/>
      <c r="Q145" s="81"/>
      <c r="R145" s="78"/>
      <c r="S145" s="78"/>
      <c r="T145" s="81"/>
      <c r="U145" s="78"/>
      <c r="V145" s="78"/>
      <c r="W145" s="78"/>
      <c r="X145" s="78"/>
      <c r="Y145" s="78"/>
      <c r="Z145" s="78"/>
      <c r="AA145" s="78"/>
      <c r="AB145" s="116"/>
      <c r="AC145" s="114"/>
      <c r="AD145" s="76"/>
      <c r="AE145" s="77"/>
      <c r="AF145" s="76"/>
      <c r="AG145" s="76"/>
      <c r="AH145" s="77"/>
      <c r="AI145" s="76"/>
      <c r="AJ145" s="76"/>
      <c r="AK145" s="77"/>
      <c r="AL145" s="76"/>
      <c r="AM145" s="76"/>
      <c r="AN145" s="77"/>
      <c r="AO145" s="76"/>
      <c r="AP145" s="76"/>
      <c r="AQ145" s="77"/>
      <c r="AR145" s="80"/>
      <c r="AS145" s="76"/>
      <c r="AT145" s="77"/>
      <c r="AU145" s="76"/>
      <c r="AV145" s="76"/>
      <c r="AW145" s="77"/>
      <c r="AX145" s="76"/>
      <c r="AY145" s="76"/>
      <c r="AZ145" s="79"/>
      <c r="BA145" s="79"/>
    </row>
    <row r="146" spans="1:53" s="83" customFormat="1" ht="16.2" customHeight="1">
      <c r="A146" s="81"/>
      <c r="B146" s="81"/>
      <c r="C146" s="81"/>
      <c r="D146" s="81"/>
      <c r="E146" s="81"/>
      <c r="F146" s="81"/>
      <c r="G146" s="81"/>
      <c r="H146" s="81"/>
      <c r="I146" s="77"/>
      <c r="J146" s="114"/>
      <c r="K146" s="115"/>
      <c r="L146" s="81"/>
      <c r="M146" s="81"/>
      <c r="N146" s="113"/>
      <c r="O146" s="81"/>
      <c r="P146" s="81"/>
      <c r="Q146" s="81"/>
      <c r="R146" s="78"/>
      <c r="S146" s="78"/>
      <c r="T146" s="81"/>
      <c r="U146" s="78"/>
      <c r="V146" s="78"/>
      <c r="W146" s="78"/>
      <c r="X146" s="78"/>
      <c r="Y146" s="78"/>
      <c r="Z146" s="78"/>
      <c r="AA146" s="78"/>
      <c r="AB146" s="116"/>
      <c r="AC146" s="114"/>
      <c r="AD146" s="76"/>
      <c r="AE146" s="77"/>
      <c r="AF146" s="76"/>
      <c r="AG146" s="76"/>
      <c r="AH146" s="77"/>
      <c r="AI146" s="76"/>
      <c r="AJ146" s="76"/>
      <c r="AK146" s="77"/>
      <c r="AL146" s="76"/>
      <c r="AM146" s="76"/>
      <c r="AN146" s="77"/>
      <c r="AO146" s="76"/>
      <c r="AP146" s="76"/>
      <c r="AQ146" s="77"/>
      <c r="AR146" s="80"/>
      <c r="AS146" s="76"/>
      <c r="AT146" s="77"/>
      <c r="AU146" s="76"/>
      <c r="AV146" s="76"/>
      <c r="AW146" s="77"/>
      <c r="AX146" s="76"/>
      <c r="AY146" s="76"/>
      <c r="AZ146" s="79"/>
      <c r="BA146" s="79"/>
    </row>
    <row r="147" spans="1:53" s="83" customFormat="1" ht="16.2" customHeight="1">
      <c r="A147" s="81"/>
      <c r="B147" s="81"/>
      <c r="C147" s="81"/>
      <c r="D147" s="81"/>
      <c r="E147" s="81"/>
      <c r="F147" s="81"/>
      <c r="G147" s="81"/>
      <c r="H147" s="81"/>
      <c r="I147" s="77"/>
      <c r="J147" s="114"/>
      <c r="K147" s="115"/>
      <c r="L147" s="81"/>
      <c r="M147" s="81"/>
      <c r="N147" s="113"/>
      <c r="O147" s="81"/>
      <c r="P147" s="81"/>
      <c r="Q147" s="81"/>
      <c r="R147" s="78"/>
      <c r="S147" s="78"/>
      <c r="T147" s="81"/>
      <c r="U147" s="78"/>
      <c r="V147" s="78"/>
      <c r="W147" s="78"/>
      <c r="X147" s="78"/>
      <c r="Y147" s="78"/>
      <c r="Z147" s="78"/>
      <c r="AA147" s="78"/>
      <c r="AB147" s="116"/>
      <c r="AC147" s="114"/>
      <c r="AD147" s="76"/>
      <c r="AE147" s="77"/>
      <c r="AF147" s="76"/>
      <c r="AG147" s="76"/>
      <c r="AH147" s="77"/>
      <c r="AI147" s="76"/>
      <c r="AJ147" s="76"/>
      <c r="AK147" s="77"/>
      <c r="AL147" s="76"/>
      <c r="AM147" s="76"/>
      <c r="AN147" s="77"/>
      <c r="AO147" s="76"/>
      <c r="AP147" s="76"/>
      <c r="AQ147" s="77"/>
      <c r="AR147" s="80"/>
      <c r="AS147" s="76"/>
      <c r="AT147" s="77"/>
      <c r="AU147" s="76"/>
      <c r="AV147" s="76"/>
      <c r="AW147" s="77"/>
      <c r="AX147" s="76"/>
      <c r="AY147" s="76"/>
      <c r="AZ147" s="79"/>
      <c r="BA147" s="79"/>
    </row>
    <row r="148" spans="1:53" s="83" customFormat="1" ht="16.2" customHeight="1">
      <c r="A148" s="81"/>
      <c r="B148" s="81"/>
      <c r="C148" s="81"/>
      <c r="D148" s="81"/>
      <c r="E148" s="81"/>
      <c r="F148" s="81"/>
      <c r="G148" s="81"/>
      <c r="H148" s="81"/>
      <c r="I148" s="77"/>
      <c r="J148" s="114"/>
      <c r="K148" s="115"/>
      <c r="L148" s="81"/>
      <c r="M148" s="81"/>
      <c r="N148" s="113"/>
      <c r="O148" s="81"/>
      <c r="P148" s="81"/>
      <c r="Q148" s="81"/>
      <c r="R148" s="78"/>
      <c r="S148" s="78"/>
      <c r="T148" s="81"/>
      <c r="U148" s="78"/>
      <c r="V148" s="78"/>
      <c r="W148" s="78"/>
      <c r="X148" s="78"/>
      <c r="Y148" s="78"/>
      <c r="Z148" s="78"/>
      <c r="AA148" s="78"/>
      <c r="AB148" s="116"/>
      <c r="AC148" s="114"/>
      <c r="AD148" s="76"/>
      <c r="AE148" s="77"/>
      <c r="AF148" s="76"/>
      <c r="AG148" s="76"/>
      <c r="AH148" s="77"/>
      <c r="AI148" s="76"/>
      <c r="AJ148" s="76"/>
      <c r="AK148" s="77"/>
      <c r="AL148" s="76"/>
      <c r="AM148" s="76"/>
      <c r="AN148" s="77"/>
      <c r="AO148" s="76"/>
      <c r="AP148" s="76"/>
      <c r="AQ148" s="77"/>
      <c r="AR148" s="80"/>
      <c r="AS148" s="76"/>
      <c r="AT148" s="77"/>
      <c r="AU148" s="76"/>
      <c r="AV148" s="76"/>
      <c r="AW148" s="77"/>
      <c r="AX148" s="76"/>
      <c r="AY148" s="76"/>
      <c r="AZ148" s="79"/>
      <c r="BA148" s="79"/>
    </row>
    <row r="149" spans="1:53" s="83" customFormat="1" ht="16.2" customHeight="1" outlineLevel="1">
      <c r="A149" s="81"/>
      <c r="B149" s="81"/>
      <c r="C149" s="81"/>
      <c r="D149" s="81"/>
      <c r="E149" s="81"/>
      <c r="F149" s="81"/>
      <c r="G149" s="81"/>
      <c r="H149" s="81"/>
      <c r="I149" s="77"/>
      <c r="J149" s="114"/>
      <c r="K149" s="115"/>
      <c r="L149" s="81"/>
      <c r="M149" s="81"/>
      <c r="N149" s="113"/>
      <c r="O149" s="81"/>
      <c r="P149" s="81"/>
      <c r="Q149" s="81"/>
      <c r="R149" s="78"/>
      <c r="S149" s="78"/>
      <c r="T149" s="81"/>
      <c r="U149" s="78"/>
      <c r="V149" s="78"/>
      <c r="W149" s="78"/>
      <c r="X149" s="78"/>
      <c r="Y149" s="78"/>
      <c r="Z149" s="78"/>
      <c r="AA149" s="78"/>
      <c r="AB149" s="116"/>
      <c r="AC149" s="114"/>
      <c r="AD149" s="76"/>
      <c r="AE149" s="77"/>
      <c r="AF149" s="76"/>
      <c r="AG149" s="76"/>
      <c r="AH149" s="77"/>
      <c r="AI149" s="76"/>
      <c r="AJ149" s="76"/>
      <c r="AK149" s="77"/>
      <c r="AL149" s="76"/>
      <c r="AM149" s="76"/>
      <c r="AN149" s="77"/>
      <c r="AO149" s="76"/>
      <c r="AP149" s="76"/>
      <c r="AQ149" s="77"/>
      <c r="AR149" s="80"/>
      <c r="AS149" s="76"/>
      <c r="AT149" s="77"/>
      <c r="AU149" s="76"/>
      <c r="AV149" s="76"/>
      <c r="AW149" s="77"/>
      <c r="AX149" s="76"/>
      <c r="AY149" s="76"/>
      <c r="AZ149" s="79"/>
      <c r="BA149" s="79"/>
    </row>
    <row r="150" spans="1:53" s="83" customFormat="1" ht="16.2" customHeight="1" outlineLevel="1">
      <c r="A150" s="81"/>
      <c r="B150" s="81"/>
      <c r="C150" s="81"/>
      <c r="D150" s="81"/>
      <c r="E150" s="81"/>
      <c r="F150" s="81"/>
      <c r="G150" s="81"/>
      <c r="H150" s="81"/>
      <c r="I150" s="77"/>
      <c r="J150" s="114"/>
      <c r="K150" s="115"/>
      <c r="L150" s="81"/>
      <c r="M150" s="81"/>
      <c r="N150" s="113"/>
      <c r="O150" s="81"/>
      <c r="P150" s="81"/>
      <c r="Q150" s="81"/>
      <c r="R150" s="78"/>
      <c r="S150" s="78"/>
      <c r="T150" s="81"/>
      <c r="U150" s="78"/>
      <c r="V150" s="78"/>
      <c r="W150" s="78"/>
      <c r="X150" s="78"/>
      <c r="Y150" s="78"/>
      <c r="Z150" s="78"/>
      <c r="AA150" s="78"/>
      <c r="AB150" s="116"/>
      <c r="AC150" s="114"/>
      <c r="AD150" s="76"/>
      <c r="AE150" s="77"/>
      <c r="AF150" s="76"/>
      <c r="AG150" s="76"/>
      <c r="AH150" s="77"/>
      <c r="AI150" s="76"/>
      <c r="AJ150" s="76"/>
      <c r="AK150" s="77"/>
      <c r="AL150" s="76"/>
      <c r="AM150" s="76"/>
      <c r="AN150" s="77"/>
      <c r="AO150" s="76"/>
      <c r="AP150" s="76"/>
      <c r="AQ150" s="77"/>
      <c r="AR150" s="80"/>
      <c r="AS150" s="76"/>
      <c r="AT150" s="77"/>
      <c r="AU150" s="76"/>
      <c r="AV150" s="76"/>
      <c r="AW150" s="77"/>
      <c r="AX150" s="76"/>
      <c r="AY150" s="76"/>
      <c r="AZ150" s="79"/>
      <c r="BA150" s="79"/>
    </row>
    <row r="151" spans="1:53" s="83" customFormat="1" ht="16.2" customHeight="1" outlineLevel="1">
      <c r="A151" s="81"/>
      <c r="B151" s="81"/>
      <c r="C151" s="81"/>
      <c r="D151" s="81"/>
      <c r="E151" s="81"/>
      <c r="F151" s="81"/>
      <c r="G151" s="81"/>
      <c r="H151" s="81"/>
      <c r="I151" s="77"/>
      <c r="J151" s="114"/>
      <c r="K151" s="115"/>
      <c r="L151" s="81"/>
      <c r="M151" s="81"/>
      <c r="N151" s="113"/>
      <c r="O151" s="81"/>
      <c r="P151" s="81"/>
      <c r="Q151" s="81"/>
      <c r="R151" s="78"/>
      <c r="S151" s="78"/>
      <c r="T151" s="81"/>
      <c r="U151" s="78"/>
      <c r="V151" s="78"/>
      <c r="W151" s="78"/>
      <c r="X151" s="78"/>
      <c r="Y151" s="78"/>
      <c r="Z151" s="78"/>
      <c r="AA151" s="78"/>
      <c r="AB151" s="116"/>
      <c r="AC151" s="114"/>
      <c r="AD151" s="76"/>
      <c r="AE151" s="77"/>
      <c r="AF151" s="76"/>
      <c r="AG151" s="76"/>
      <c r="AH151" s="77"/>
      <c r="AI151" s="76"/>
      <c r="AJ151" s="76"/>
      <c r="AK151" s="77"/>
      <c r="AL151" s="76"/>
      <c r="AM151" s="76"/>
      <c r="AN151" s="77"/>
      <c r="AO151" s="76"/>
      <c r="AP151" s="76"/>
      <c r="AQ151" s="77"/>
      <c r="AR151" s="80"/>
      <c r="AS151" s="76"/>
      <c r="AT151" s="77"/>
      <c r="AU151" s="76"/>
      <c r="AV151" s="76"/>
      <c r="AW151" s="77"/>
      <c r="AX151" s="76"/>
      <c r="AY151" s="76"/>
      <c r="AZ151" s="79"/>
      <c r="BA151" s="79"/>
    </row>
    <row r="152" spans="1:53" s="83" customFormat="1" ht="16.2" customHeight="1" outlineLevel="1">
      <c r="A152" s="81"/>
      <c r="B152" s="81"/>
      <c r="C152" s="81"/>
      <c r="D152" s="81"/>
      <c r="E152" s="81"/>
      <c r="F152" s="81"/>
      <c r="G152" s="81"/>
      <c r="H152" s="81"/>
      <c r="I152" s="77"/>
      <c r="J152" s="114"/>
      <c r="K152" s="115"/>
      <c r="L152" s="81"/>
      <c r="M152" s="81"/>
      <c r="N152" s="113"/>
      <c r="O152" s="81"/>
      <c r="P152" s="81"/>
      <c r="Q152" s="81"/>
      <c r="R152" s="78"/>
      <c r="S152" s="78"/>
      <c r="T152" s="81"/>
      <c r="U152" s="78"/>
      <c r="V152" s="78"/>
      <c r="W152" s="78"/>
      <c r="X152" s="78"/>
      <c r="Y152" s="78"/>
      <c r="Z152" s="78"/>
      <c r="AA152" s="78"/>
      <c r="AB152" s="116"/>
      <c r="AC152" s="114"/>
      <c r="AD152" s="76"/>
      <c r="AE152" s="77"/>
      <c r="AF152" s="76"/>
      <c r="AG152" s="76"/>
      <c r="AH152" s="77"/>
      <c r="AI152" s="76"/>
      <c r="AJ152" s="76"/>
      <c r="AK152" s="77"/>
      <c r="AL152" s="76"/>
      <c r="AM152" s="76"/>
      <c r="AN152" s="77"/>
      <c r="AO152" s="76"/>
      <c r="AP152" s="76"/>
      <c r="AQ152" s="77"/>
      <c r="AR152" s="80"/>
      <c r="AS152" s="76"/>
      <c r="AT152" s="77"/>
      <c r="AU152" s="76"/>
      <c r="AV152" s="76"/>
      <c r="AW152" s="77"/>
      <c r="AX152" s="76"/>
      <c r="AY152" s="76"/>
      <c r="AZ152" s="79"/>
      <c r="BA152" s="79"/>
    </row>
    <row r="153" spans="1:53" s="83" customFormat="1" ht="16.2" customHeight="1" outlineLevel="1">
      <c r="A153" s="81"/>
      <c r="B153" s="81"/>
      <c r="C153" s="81"/>
      <c r="D153" s="81"/>
      <c r="E153" s="81"/>
      <c r="F153" s="81"/>
      <c r="G153" s="81"/>
      <c r="H153" s="81"/>
      <c r="I153" s="77"/>
      <c r="J153" s="114"/>
      <c r="K153" s="115"/>
      <c r="L153" s="81"/>
      <c r="M153" s="81"/>
      <c r="N153" s="113"/>
      <c r="O153" s="81"/>
      <c r="P153" s="81"/>
      <c r="Q153" s="81"/>
      <c r="R153" s="78"/>
      <c r="S153" s="78"/>
      <c r="T153" s="81"/>
      <c r="U153" s="78"/>
      <c r="V153" s="78"/>
      <c r="W153" s="78"/>
      <c r="X153" s="78"/>
      <c r="Y153" s="78"/>
      <c r="Z153" s="78"/>
      <c r="AA153" s="78"/>
      <c r="AB153" s="116"/>
      <c r="AC153" s="114"/>
      <c r="AD153" s="76"/>
      <c r="AE153" s="77"/>
      <c r="AF153" s="76"/>
      <c r="AG153" s="76"/>
      <c r="AH153" s="77"/>
      <c r="AI153" s="76"/>
      <c r="AJ153" s="76"/>
      <c r="AK153" s="77"/>
      <c r="AL153" s="76"/>
      <c r="AM153" s="76"/>
      <c r="AN153" s="77"/>
      <c r="AO153" s="76"/>
      <c r="AP153" s="76"/>
      <c r="AQ153" s="77"/>
      <c r="AR153" s="80"/>
      <c r="AS153" s="76"/>
      <c r="AT153" s="77"/>
      <c r="AU153" s="76"/>
      <c r="AV153" s="76"/>
      <c r="AW153" s="77"/>
      <c r="AX153" s="76"/>
      <c r="AY153" s="76"/>
      <c r="AZ153" s="79"/>
      <c r="BA153" s="79"/>
    </row>
    <row r="154" spans="1:53" s="83" customFormat="1" ht="16.2" customHeight="1" outlineLevel="1">
      <c r="A154" s="81"/>
      <c r="B154" s="81"/>
      <c r="C154" s="81"/>
      <c r="D154" s="81"/>
      <c r="E154" s="81"/>
      <c r="F154" s="81"/>
      <c r="G154" s="81"/>
      <c r="H154" s="81"/>
      <c r="I154" s="77"/>
      <c r="J154" s="114"/>
      <c r="K154" s="115"/>
      <c r="L154" s="81"/>
      <c r="M154" s="81"/>
      <c r="N154" s="113"/>
      <c r="O154" s="81"/>
      <c r="P154" s="81"/>
      <c r="Q154" s="81"/>
      <c r="R154" s="78"/>
      <c r="S154" s="78"/>
      <c r="T154" s="81"/>
      <c r="U154" s="78"/>
      <c r="V154" s="78"/>
      <c r="W154" s="78"/>
      <c r="X154" s="78"/>
      <c r="Y154" s="78"/>
      <c r="Z154" s="78"/>
      <c r="AA154" s="78"/>
      <c r="AB154" s="116"/>
      <c r="AC154" s="114"/>
      <c r="AD154" s="76"/>
      <c r="AE154" s="77"/>
      <c r="AF154" s="76"/>
      <c r="AG154" s="76"/>
      <c r="AH154" s="77"/>
      <c r="AI154" s="76"/>
      <c r="AJ154" s="76"/>
      <c r="AK154" s="77"/>
      <c r="AL154" s="76"/>
      <c r="AM154" s="76"/>
      <c r="AN154" s="77"/>
      <c r="AO154" s="76"/>
      <c r="AP154" s="76"/>
      <c r="AQ154" s="77"/>
      <c r="AR154" s="80"/>
      <c r="AS154" s="76"/>
      <c r="AT154" s="77"/>
      <c r="AU154" s="76"/>
      <c r="AV154" s="76"/>
      <c r="AW154" s="77"/>
      <c r="AX154" s="76"/>
      <c r="AY154" s="76"/>
      <c r="AZ154" s="79"/>
      <c r="BA154" s="79"/>
    </row>
    <row r="155" spans="1:53" s="83" customFormat="1" ht="16.2" customHeight="1" outlineLevel="1">
      <c r="A155" s="81"/>
      <c r="B155" s="81"/>
      <c r="C155" s="81"/>
      <c r="D155" s="81"/>
      <c r="E155" s="81"/>
      <c r="F155" s="81"/>
      <c r="G155" s="81"/>
      <c r="H155" s="81"/>
      <c r="I155" s="77"/>
      <c r="J155" s="114"/>
      <c r="K155" s="115"/>
      <c r="L155" s="81"/>
      <c r="M155" s="81"/>
      <c r="N155" s="113"/>
      <c r="O155" s="81"/>
      <c r="P155" s="81"/>
      <c r="Q155" s="81"/>
      <c r="R155" s="78"/>
      <c r="S155" s="78"/>
      <c r="T155" s="81"/>
      <c r="U155" s="78"/>
      <c r="V155" s="78"/>
      <c r="W155" s="78"/>
      <c r="X155" s="78"/>
      <c r="Y155" s="78"/>
      <c r="Z155" s="78"/>
      <c r="AA155" s="78"/>
      <c r="AB155" s="116"/>
      <c r="AC155" s="114"/>
      <c r="AD155" s="76"/>
      <c r="AE155" s="77"/>
      <c r="AF155" s="76"/>
      <c r="AG155" s="76"/>
      <c r="AH155" s="77"/>
      <c r="AI155" s="76"/>
      <c r="AJ155" s="76"/>
      <c r="AK155" s="77"/>
      <c r="AL155" s="76"/>
      <c r="AM155" s="76"/>
      <c r="AN155" s="77"/>
      <c r="AO155" s="76"/>
      <c r="AP155" s="76"/>
      <c r="AQ155" s="77"/>
      <c r="AR155" s="80"/>
      <c r="AS155" s="76"/>
      <c r="AT155" s="77"/>
      <c r="AU155" s="76"/>
      <c r="AV155" s="76"/>
      <c r="AW155" s="77"/>
      <c r="AX155" s="76"/>
      <c r="AY155" s="76"/>
      <c r="AZ155" s="79"/>
      <c r="BA155" s="79"/>
    </row>
    <row r="156" spans="1:53" s="83" customFormat="1" ht="16.2" customHeight="1" outlineLevel="1">
      <c r="A156" s="81"/>
      <c r="B156" s="81"/>
      <c r="C156" s="81"/>
      <c r="D156" s="81"/>
      <c r="E156" s="81"/>
      <c r="F156" s="81"/>
      <c r="G156" s="81"/>
      <c r="H156" s="81"/>
      <c r="I156" s="77"/>
      <c r="J156" s="114"/>
      <c r="K156" s="115"/>
      <c r="L156" s="81"/>
      <c r="M156" s="81"/>
      <c r="N156" s="113"/>
      <c r="O156" s="81"/>
      <c r="P156" s="81"/>
      <c r="Q156" s="81"/>
      <c r="R156" s="78"/>
      <c r="S156" s="78"/>
      <c r="T156" s="81"/>
      <c r="U156" s="78"/>
      <c r="V156" s="78"/>
      <c r="W156" s="78"/>
      <c r="X156" s="78"/>
      <c r="Y156" s="78"/>
      <c r="Z156" s="78"/>
      <c r="AA156" s="78"/>
      <c r="AB156" s="116"/>
      <c r="AC156" s="114"/>
      <c r="AD156" s="76"/>
      <c r="AE156" s="77"/>
      <c r="AF156" s="76"/>
      <c r="AG156" s="76"/>
      <c r="AH156" s="77"/>
      <c r="AI156" s="76"/>
      <c r="AJ156" s="76"/>
      <c r="AK156" s="77"/>
      <c r="AL156" s="76"/>
      <c r="AM156" s="76"/>
      <c r="AN156" s="77"/>
      <c r="AO156" s="76"/>
      <c r="AP156" s="76"/>
      <c r="AQ156" s="77"/>
      <c r="AR156" s="80"/>
      <c r="AS156" s="76"/>
      <c r="AT156" s="77"/>
      <c r="AU156" s="76"/>
      <c r="AV156" s="76"/>
      <c r="AW156" s="77"/>
      <c r="AX156" s="76"/>
      <c r="AY156" s="76"/>
      <c r="AZ156" s="79"/>
      <c r="BA156" s="79"/>
    </row>
    <row r="157" spans="1:53" s="83" customFormat="1" ht="16.2" customHeight="1" outlineLevel="1">
      <c r="A157" s="81"/>
      <c r="B157" s="81"/>
      <c r="C157" s="81"/>
      <c r="D157" s="81"/>
      <c r="E157" s="81"/>
      <c r="F157" s="81"/>
      <c r="G157" s="81"/>
      <c r="H157" s="81"/>
      <c r="I157" s="77"/>
      <c r="J157" s="114"/>
      <c r="K157" s="115"/>
      <c r="L157" s="81"/>
      <c r="M157" s="81"/>
      <c r="N157" s="113"/>
      <c r="O157" s="81"/>
      <c r="P157" s="81"/>
      <c r="Q157" s="81"/>
      <c r="R157" s="78"/>
      <c r="S157" s="78"/>
      <c r="T157" s="81"/>
      <c r="U157" s="78"/>
      <c r="V157" s="78"/>
      <c r="W157" s="78"/>
      <c r="X157" s="78"/>
      <c r="Y157" s="78"/>
      <c r="Z157" s="78"/>
      <c r="AA157" s="78"/>
      <c r="AB157" s="116"/>
      <c r="AC157" s="114"/>
      <c r="AD157" s="76"/>
      <c r="AE157" s="77"/>
      <c r="AF157" s="76"/>
      <c r="AG157" s="76"/>
      <c r="AH157" s="77"/>
      <c r="AI157" s="76"/>
      <c r="AJ157" s="76"/>
      <c r="AK157" s="77"/>
      <c r="AL157" s="76"/>
      <c r="AM157" s="76"/>
      <c r="AN157" s="77"/>
      <c r="AO157" s="76"/>
      <c r="AP157" s="76"/>
      <c r="AQ157" s="77"/>
      <c r="AR157" s="80"/>
      <c r="AS157" s="76"/>
      <c r="AT157" s="77"/>
      <c r="AU157" s="76"/>
      <c r="AV157" s="76"/>
      <c r="AW157" s="77"/>
      <c r="AX157" s="76"/>
      <c r="AY157" s="76"/>
      <c r="AZ157" s="79"/>
      <c r="BA157" s="79"/>
    </row>
    <row r="158" spans="1:53" s="83" customFormat="1" ht="16.2" customHeight="1" outlineLevel="1">
      <c r="A158" s="81"/>
      <c r="B158" s="81"/>
      <c r="C158" s="81"/>
      <c r="D158" s="81"/>
      <c r="E158" s="81"/>
      <c r="F158" s="81"/>
      <c r="G158" s="81"/>
      <c r="H158" s="81"/>
      <c r="I158" s="77"/>
      <c r="J158" s="114"/>
      <c r="K158" s="115"/>
      <c r="L158" s="81"/>
      <c r="M158" s="81"/>
      <c r="N158" s="113"/>
      <c r="O158" s="81"/>
      <c r="P158" s="81"/>
      <c r="Q158" s="81"/>
      <c r="R158" s="78"/>
      <c r="S158" s="78"/>
      <c r="T158" s="81"/>
      <c r="U158" s="78"/>
      <c r="V158" s="78"/>
      <c r="W158" s="78"/>
      <c r="X158" s="78"/>
      <c r="Y158" s="78"/>
      <c r="Z158" s="78"/>
      <c r="AA158" s="78"/>
      <c r="AB158" s="116"/>
      <c r="AC158" s="114"/>
      <c r="AD158" s="76"/>
      <c r="AE158" s="77"/>
      <c r="AF158" s="76"/>
      <c r="AG158" s="76"/>
      <c r="AH158" s="77"/>
      <c r="AI158" s="76"/>
      <c r="AJ158" s="76"/>
      <c r="AK158" s="77"/>
      <c r="AL158" s="76"/>
      <c r="AM158" s="76"/>
      <c r="AN158" s="77"/>
      <c r="AO158" s="76"/>
      <c r="AP158" s="76"/>
      <c r="AQ158" s="77"/>
      <c r="AR158" s="80"/>
      <c r="AS158" s="76"/>
      <c r="AT158" s="77"/>
      <c r="AU158" s="76"/>
      <c r="AV158" s="76"/>
      <c r="AW158" s="77"/>
      <c r="AX158" s="76"/>
      <c r="AY158" s="76"/>
      <c r="AZ158" s="79"/>
      <c r="BA158" s="79"/>
    </row>
    <row r="159" spans="1:53" s="83" customFormat="1" ht="16.2" customHeight="1" outlineLevel="1">
      <c r="A159" s="81"/>
      <c r="B159" s="81"/>
      <c r="C159" s="81"/>
      <c r="D159" s="81"/>
      <c r="E159" s="81"/>
      <c r="F159" s="81"/>
      <c r="G159" s="81"/>
      <c r="H159" s="81"/>
      <c r="I159" s="77"/>
      <c r="J159" s="114"/>
      <c r="K159" s="115"/>
      <c r="L159" s="81"/>
      <c r="M159" s="81"/>
      <c r="N159" s="113"/>
      <c r="O159" s="81"/>
      <c r="P159" s="81"/>
      <c r="Q159" s="81"/>
      <c r="R159" s="78"/>
      <c r="S159" s="78"/>
      <c r="T159" s="81"/>
      <c r="U159" s="78"/>
      <c r="V159" s="78"/>
      <c r="W159" s="78"/>
      <c r="X159" s="78"/>
      <c r="Y159" s="78"/>
      <c r="Z159" s="78"/>
      <c r="AA159" s="78"/>
      <c r="AB159" s="116"/>
      <c r="AC159" s="114"/>
      <c r="AD159" s="76"/>
      <c r="AE159" s="77"/>
      <c r="AF159" s="76"/>
      <c r="AG159" s="76"/>
      <c r="AH159" s="77"/>
      <c r="AI159" s="76"/>
      <c r="AJ159" s="76"/>
      <c r="AK159" s="77"/>
      <c r="AL159" s="76"/>
      <c r="AM159" s="76"/>
      <c r="AN159" s="77"/>
      <c r="AO159" s="76"/>
      <c r="AP159" s="76"/>
      <c r="AQ159" s="77"/>
      <c r="AR159" s="80"/>
      <c r="AS159" s="76"/>
      <c r="AT159" s="77"/>
      <c r="AU159" s="76"/>
      <c r="AV159" s="76"/>
      <c r="AW159" s="77"/>
      <c r="AX159" s="76"/>
      <c r="AY159" s="76"/>
      <c r="AZ159" s="79"/>
      <c r="BA159" s="79"/>
    </row>
    <row r="160" spans="1:53" s="83" customFormat="1" ht="16.2" customHeight="1" outlineLevel="1">
      <c r="A160" s="81"/>
      <c r="B160" s="81"/>
      <c r="C160" s="81"/>
      <c r="D160" s="81"/>
      <c r="E160" s="81"/>
      <c r="F160" s="81"/>
      <c r="G160" s="81"/>
      <c r="H160" s="81"/>
      <c r="I160" s="77"/>
      <c r="J160" s="114"/>
      <c r="K160" s="115"/>
      <c r="L160" s="81"/>
      <c r="M160" s="81"/>
      <c r="N160" s="113"/>
      <c r="O160" s="81"/>
      <c r="P160" s="81"/>
      <c r="Q160" s="81"/>
      <c r="R160" s="78"/>
      <c r="S160" s="78"/>
      <c r="T160" s="81"/>
      <c r="U160" s="78"/>
      <c r="V160" s="78"/>
      <c r="W160" s="78"/>
      <c r="X160" s="78"/>
      <c r="Y160" s="78"/>
      <c r="Z160" s="78"/>
      <c r="AA160" s="78"/>
      <c r="AB160" s="116"/>
      <c r="AC160" s="114"/>
      <c r="AD160" s="76"/>
      <c r="AE160" s="77"/>
      <c r="AF160" s="76"/>
      <c r="AG160" s="76"/>
      <c r="AH160" s="77"/>
      <c r="AI160" s="76"/>
      <c r="AJ160" s="76"/>
      <c r="AK160" s="77"/>
      <c r="AL160" s="76"/>
      <c r="AM160" s="76"/>
      <c r="AN160" s="77"/>
      <c r="AO160" s="76"/>
      <c r="AP160" s="76"/>
      <c r="AQ160" s="77"/>
      <c r="AR160" s="80"/>
      <c r="AS160" s="76"/>
      <c r="AT160" s="77"/>
      <c r="AU160" s="76"/>
      <c r="AV160" s="76"/>
      <c r="AW160" s="77"/>
      <c r="AX160" s="76"/>
      <c r="AY160" s="76"/>
      <c r="AZ160" s="79"/>
      <c r="BA160" s="79"/>
    </row>
    <row r="161" spans="1:53" s="83" customFormat="1" ht="16.2" customHeight="1" outlineLevel="1">
      <c r="A161" s="81"/>
      <c r="B161" s="81"/>
      <c r="C161" s="81"/>
      <c r="D161" s="81"/>
      <c r="E161" s="81"/>
      <c r="F161" s="81"/>
      <c r="G161" s="81"/>
      <c r="H161" s="81"/>
      <c r="I161" s="77"/>
      <c r="J161" s="114"/>
      <c r="K161" s="115"/>
      <c r="L161" s="81"/>
      <c r="M161" s="81"/>
      <c r="N161" s="113"/>
      <c r="O161" s="81"/>
      <c r="P161" s="81"/>
      <c r="Q161" s="81"/>
      <c r="R161" s="78"/>
      <c r="S161" s="78"/>
      <c r="T161" s="81"/>
      <c r="U161" s="78"/>
      <c r="V161" s="78"/>
      <c r="W161" s="78"/>
      <c r="X161" s="78"/>
      <c r="Y161" s="78"/>
      <c r="Z161" s="78"/>
      <c r="AA161" s="78"/>
      <c r="AB161" s="116"/>
      <c r="AC161" s="114"/>
      <c r="AD161" s="76"/>
      <c r="AE161" s="77"/>
      <c r="AF161" s="76"/>
      <c r="AG161" s="76"/>
      <c r="AH161" s="77"/>
      <c r="AI161" s="76"/>
      <c r="AJ161" s="76"/>
      <c r="AK161" s="77"/>
      <c r="AL161" s="76"/>
      <c r="AM161" s="76"/>
      <c r="AN161" s="77"/>
      <c r="AO161" s="76"/>
      <c r="AP161" s="76"/>
      <c r="AQ161" s="77"/>
      <c r="AR161" s="80"/>
      <c r="AS161" s="76"/>
      <c r="AT161" s="77"/>
      <c r="AU161" s="76"/>
      <c r="AV161" s="76"/>
      <c r="AW161" s="77"/>
      <c r="AX161" s="76"/>
      <c r="AY161" s="76"/>
      <c r="AZ161" s="79"/>
      <c r="BA161" s="79"/>
    </row>
    <row r="162" spans="1:53">
      <c r="A162" s="81"/>
      <c r="B162" s="81"/>
      <c r="C162" s="81"/>
      <c r="D162" s="81"/>
      <c r="E162" s="81"/>
      <c r="F162" s="81"/>
      <c r="G162" s="81"/>
      <c r="H162" s="81"/>
      <c r="I162" s="77"/>
      <c r="J162" s="114"/>
      <c r="K162" s="115"/>
      <c r="L162" s="81"/>
      <c r="M162" s="81"/>
      <c r="N162" s="113"/>
      <c r="O162" s="81"/>
      <c r="P162" s="81"/>
      <c r="Q162" s="81"/>
      <c r="R162" s="78"/>
      <c r="S162" s="78"/>
      <c r="T162" s="81"/>
      <c r="U162" s="78"/>
      <c r="V162" s="78"/>
      <c r="W162" s="78"/>
      <c r="X162" s="78"/>
      <c r="Y162" s="78"/>
      <c r="Z162" s="78"/>
      <c r="AA162" s="78"/>
      <c r="AB162" s="116"/>
      <c r="AC162" s="114"/>
      <c r="AD162" s="76"/>
      <c r="AE162" s="77"/>
      <c r="AF162" s="76"/>
      <c r="AG162" s="76"/>
      <c r="AH162" s="77"/>
      <c r="AI162" s="76"/>
      <c r="AJ162" s="76"/>
      <c r="AK162" s="77"/>
      <c r="AL162" s="76"/>
      <c r="AM162" s="76"/>
      <c r="AN162" s="77"/>
      <c r="AO162" s="76"/>
      <c r="AP162" s="76"/>
      <c r="AQ162" s="77"/>
      <c r="AR162" s="80"/>
      <c r="AS162" s="76"/>
      <c r="AT162" s="77"/>
      <c r="AU162" s="76"/>
      <c r="AV162" s="76"/>
      <c r="AW162" s="77"/>
      <c r="AX162" s="76"/>
      <c r="AY162" s="76"/>
      <c r="AZ162" s="79"/>
      <c r="BA162" s="79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 xr:uid="{00000000-0002-0000-0100-000000000000}">
      <formula1>INDIRECT(Q2)</formula1>
    </dataValidation>
    <dataValidation type="list" allowBlank="1" showInputMessage="1" showErrorMessage="1" sqref="AH2:AH162 AK2:AK162 AN2:AN162 AE2:AE162" xr:uid="{00000000-0002-0000-0100-000001000000}">
      <formula1>PROCESS</formula1>
    </dataValidation>
    <dataValidation type="list" allowBlank="1" showInputMessage="1" showErrorMessage="1" sqref="AQ2:AQ162 AT2:AT162 AW2:AW162" xr:uid="{00000000-0002-0000-0100-000002000000}">
      <formula1>FixtureCreate</formula1>
    </dataValidation>
    <dataValidation type="list" allowBlank="1" showInputMessage="1" showErrorMessage="1" sqref="O2:O162" xr:uid="{00000000-0002-0000-0100-000003000000}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4000000}">
          <x14:formula1>
            <xm:f>Category!$A$3:$A$13</xm:f>
          </x14:formula1>
          <xm:sqref>A2:A162</xm:sqref>
        </x14:dataValidation>
        <x14:dataValidation type="list" allowBlank="1" showInputMessage="1" showErrorMessage="1" xr:uid="{00000000-0002-0000-0100-000005000000}">
          <x14:formula1>
            <xm:f>Category!$C$3:$C$7</xm:f>
          </x14:formula1>
          <xm:sqref>P2:P162</xm:sqref>
        </x14:dataValidation>
        <x14:dataValidation type="list" allowBlank="1" showInputMessage="1" showErrorMessage="1" xr:uid="{00000000-0002-0000-0100-000006000000}">
          <x14:formula1>
            <xm:f>Category!$AA$2:$AA$4</xm:f>
          </x14:formula1>
          <xm:sqref>N2:N162</xm:sqref>
        </x14:dataValidation>
        <x14:dataValidation type="list" allowBlank="1" showInputMessage="1" showErrorMessage="1" xr:uid="{00000000-0002-0000-0100-000007000000}">
          <x14:formula1>
            <xm:f>Category!$Z$2:$Z$12</xm:f>
          </x14:formula1>
          <xm:sqref>H2:H162</xm:sqref>
        </x14:dataValidation>
        <x14:dataValidation type="list" allowBlank="1" showInputMessage="1" showErrorMessage="1" xr:uid="{00000000-0002-0000-0100-000008000000}">
          <x14:formula1>
            <xm:f>Category!$AD$2:$AD$5</xm:f>
          </x14:formula1>
          <xm:sqref>L2:L162</xm:sqref>
        </x14:dataValidation>
        <x14:dataValidation type="list" allowBlank="1" showInputMessage="1" showErrorMessage="1" xr:uid="{00000000-0002-0000-0100-000009000000}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09"/>
  <sheetViews>
    <sheetView showGridLines="0" tabSelected="1" zoomScale="62" zoomScaleNormal="62" workbookViewId="0">
      <pane xSplit="2" ySplit="3" topLeftCell="C73" activePane="bottomRight" state="frozenSplit"/>
      <selection pane="topRight" activeCell="AF1" sqref="AF1:AS1"/>
      <selection pane="bottomLeft" activeCell="A4" sqref="A4"/>
      <selection pane="bottomRight" activeCell="C93" sqref="C93"/>
    </sheetView>
  </sheetViews>
  <sheetFormatPr defaultColWidth="8.78125" defaultRowHeight="16.25"/>
  <cols>
    <col min="1" max="1" width="35.78125" style="162" bestFit="1" customWidth="1"/>
    <col min="2" max="3" width="46.6484375" style="162" customWidth="1"/>
    <col min="4" max="4" width="41.78125" style="162" customWidth="1"/>
    <col min="5" max="5" width="85.43359375" style="162" customWidth="1"/>
    <col min="6" max="10" width="8.6484375" style="184" customWidth="1"/>
    <col min="11" max="12" width="15.6484375" style="184" customWidth="1"/>
    <col min="13" max="13" width="22.0859375" style="184" bestFit="1" customWidth="1"/>
    <col min="14" max="14" width="18.43359375" style="184" customWidth="1"/>
    <col min="15" max="16384" width="8.78125" style="162"/>
  </cols>
  <sheetData>
    <row r="1" spans="1:14" ht="34.950000000000003" customHeight="1">
      <c r="A1" s="161" t="s">
        <v>1089</v>
      </c>
      <c r="D1" s="163"/>
      <c r="F1" s="303"/>
      <c r="G1" s="304"/>
      <c r="H1" s="304"/>
      <c r="I1" s="304"/>
      <c r="J1" s="305"/>
      <c r="K1" s="306"/>
      <c r="L1" s="307"/>
      <c r="M1" s="164"/>
      <c r="N1" s="308" t="s">
        <v>1090</v>
      </c>
    </row>
    <row r="2" spans="1:14" ht="54" customHeight="1">
      <c r="A2" s="311" t="s">
        <v>1091</v>
      </c>
      <c r="B2" s="313" t="s">
        <v>1092</v>
      </c>
      <c r="C2" s="315" t="s">
        <v>1093</v>
      </c>
      <c r="D2" s="316" t="s">
        <v>1094</v>
      </c>
      <c r="E2" s="318" t="s">
        <v>1095</v>
      </c>
      <c r="F2" s="320" t="s">
        <v>1096</v>
      </c>
      <c r="G2" s="321"/>
      <c r="H2" s="321"/>
      <c r="I2" s="321"/>
      <c r="J2" s="322"/>
      <c r="K2" s="323" t="s">
        <v>1097</v>
      </c>
      <c r="L2" s="324"/>
      <c r="M2" s="323" t="s">
        <v>1098</v>
      </c>
      <c r="N2" s="309"/>
    </row>
    <row r="3" spans="1:14" ht="35.700000000000003" customHeight="1">
      <c r="A3" s="312"/>
      <c r="B3" s="314"/>
      <c r="C3" s="315"/>
      <c r="D3" s="317"/>
      <c r="E3" s="319"/>
      <c r="F3" s="188" t="s">
        <v>1099</v>
      </c>
      <c r="G3" s="188" t="s">
        <v>1100</v>
      </c>
      <c r="H3" s="188" t="s">
        <v>1101</v>
      </c>
      <c r="I3" s="188" t="s">
        <v>1102</v>
      </c>
      <c r="J3" s="188" t="s">
        <v>1103</v>
      </c>
      <c r="K3" s="188" t="s">
        <v>1104</v>
      </c>
      <c r="L3" s="188" t="s">
        <v>1105</v>
      </c>
      <c r="M3" s="323"/>
      <c r="N3" s="310"/>
    </row>
    <row r="4" spans="1:14" ht="16.2" customHeight="1">
      <c r="A4" s="325" t="s">
        <v>1106</v>
      </c>
      <c r="B4" s="191" t="s">
        <v>1107</v>
      </c>
      <c r="C4" s="192" t="s">
        <v>1109</v>
      </c>
      <c r="D4" s="166"/>
      <c r="E4" s="85" t="s">
        <v>1110</v>
      </c>
      <c r="F4" s="187"/>
      <c r="G4" s="187"/>
      <c r="H4" s="187"/>
      <c r="I4" s="187"/>
      <c r="J4" s="187"/>
      <c r="K4" s="187"/>
      <c r="L4" s="187"/>
      <c r="M4" s="168"/>
      <c r="N4" s="169"/>
    </row>
    <row r="5" spans="1:14" ht="16.2" customHeight="1">
      <c r="A5" s="326"/>
      <c r="B5" s="191" t="s">
        <v>1111</v>
      </c>
      <c r="C5" s="192" t="s">
        <v>1109</v>
      </c>
      <c r="D5" s="166"/>
      <c r="E5" s="85" t="s">
        <v>1110</v>
      </c>
      <c r="F5" s="189"/>
      <c r="G5" s="189"/>
      <c r="H5" s="189"/>
      <c r="I5" s="189"/>
      <c r="J5" s="189"/>
      <c r="K5" s="189"/>
      <c r="L5" s="189"/>
      <c r="M5" s="189"/>
      <c r="N5" s="189"/>
    </row>
    <row r="6" spans="1:14" ht="16.2" customHeight="1">
      <c r="A6" s="326"/>
      <c r="B6" s="172" t="s">
        <v>1259</v>
      </c>
      <c r="C6" s="192" t="s">
        <v>1109</v>
      </c>
      <c r="D6" s="166" t="s">
        <v>1058</v>
      </c>
      <c r="E6" s="85" t="s">
        <v>1110</v>
      </c>
      <c r="F6" s="189"/>
      <c r="G6" s="189"/>
      <c r="H6" s="189"/>
      <c r="I6" s="189"/>
      <c r="J6" s="189"/>
      <c r="K6" s="189"/>
      <c r="L6" s="189"/>
      <c r="M6" s="189"/>
      <c r="N6" s="189"/>
    </row>
    <row r="7" spans="1:14" ht="16.2" customHeight="1">
      <c r="A7" s="326"/>
      <c r="B7" s="191" t="s">
        <v>1112</v>
      </c>
      <c r="C7" s="192" t="s">
        <v>1109</v>
      </c>
      <c r="D7" s="175" t="s">
        <v>1059</v>
      </c>
      <c r="E7" s="85" t="s">
        <v>1110</v>
      </c>
      <c r="F7" s="189"/>
      <c r="G7" s="189"/>
      <c r="H7" s="189"/>
      <c r="I7" s="189"/>
      <c r="J7" s="189"/>
      <c r="K7" s="189"/>
      <c r="L7" s="189"/>
      <c r="M7" s="189"/>
      <c r="N7" s="189"/>
    </row>
    <row r="8" spans="1:14" ht="16.2" customHeight="1">
      <c r="A8" s="326"/>
      <c r="B8" s="191" t="s">
        <v>1113</v>
      </c>
      <c r="C8" s="192" t="s">
        <v>1109</v>
      </c>
      <c r="D8" s="170"/>
      <c r="E8" s="85" t="s">
        <v>1110</v>
      </c>
      <c r="F8" s="189"/>
      <c r="G8" s="189"/>
      <c r="H8" s="189"/>
      <c r="I8" s="189"/>
      <c r="J8" s="189"/>
      <c r="K8" s="189"/>
      <c r="L8" s="189"/>
      <c r="M8" s="189"/>
      <c r="N8" s="189"/>
    </row>
    <row r="9" spans="1:14" ht="16.2" customHeight="1">
      <c r="A9" s="326"/>
      <c r="B9" s="191" t="s">
        <v>1114</v>
      </c>
      <c r="C9" s="192" t="s">
        <v>1109</v>
      </c>
      <c r="D9" s="175" t="s">
        <v>1059</v>
      </c>
      <c r="E9" s="85" t="s">
        <v>1110</v>
      </c>
      <c r="F9" s="189"/>
      <c r="G9" s="189"/>
      <c r="H9" s="189"/>
      <c r="I9" s="189"/>
      <c r="J9" s="189"/>
      <c r="K9" s="189"/>
      <c r="L9" s="189"/>
      <c r="M9" s="189"/>
      <c r="N9" s="189"/>
    </row>
    <row r="10" spans="1:14" ht="16.2" customHeight="1">
      <c r="A10" s="326"/>
      <c r="B10" s="191" t="s">
        <v>1115</v>
      </c>
      <c r="C10" s="192" t="s">
        <v>1109</v>
      </c>
      <c r="D10" s="166"/>
      <c r="E10" s="85" t="s">
        <v>1110</v>
      </c>
      <c r="F10" s="189"/>
      <c r="G10" s="189"/>
      <c r="H10" s="189"/>
      <c r="I10" s="189"/>
      <c r="J10" s="189"/>
      <c r="K10" s="189"/>
      <c r="L10" s="189"/>
      <c r="M10" s="189"/>
      <c r="N10" s="189"/>
    </row>
    <row r="11" spans="1:14" ht="16.2" customHeight="1">
      <c r="A11" s="326"/>
      <c r="B11" s="191" t="s">
        <v>1116</v>
      </c>
      <c r="C11" s="192" t="s">
        <v>1109</v>
      </c>
      <c r="D11" s="166"/>
      <c r="E11" s="85" t="s">
        <v>1110</v>
      </c>
      <c r="F11" s="189"/>
      <c r="G11" s="189"/>
      <c r="H11" s="189"/>
      <c r="I11" s="189"/>
      <c r="J11" s="189"/>
      <c r="K11" s="189"/>
      <c r="L11" s="189"/>
      <c r="M11" s="189"/>
      <c r="N11" s="189"/>
    </row>
    <row r="12" spans="1:14" ht="16.2" customHeight="1">
      <c r="A12" s="326"/>
      <c r="B12" s="191" t="s">
        <v>1117</v>
      </c>
      <c r="C12" s="192" t="s">
        <v>1109</v>
      </c>
      <c r="D12" s="166"/>
      <c r="E12" s="85" t="s">
        <v>1110</v>
      </c>
      <c r="F12" s="189"/>
      <c r="G12" s="189"/>
      <c r="H12" s="189"/>
      <c r="I12" s="189"/>
      <c r="J12" s="189"/>
      <c r="K12" s="189"/>
      <c r="L12" s="189"/>
      <c r="M12" s="189"/>
      <c r="N12" s="189"/>
    </row>
    <row r="13" spans="1:14" ht="16.2" customHeight="1">
      <c r="A13" s="326"/>
      <c r="B13" s="191" t="s">
        <v>1118</v>
      </c>
      <c r="C13" s="192" t="s">
        <v>1109</v>
      </c>
      <c r="D13" s="166"/>
      <c r="E13" s="85" t="s">
        <v>1110</v>
      </c>
      <c r="F13" s="189"/>
      <c r="G13" s="189"/>
      <c r="H13" s="189"/>
      <c r="I13" s="189"/>
      <c r="J13" s="189"/>
      <c r="K13" s="189"/>
      <c r="L13" s="189"/>
      <c r="M13" s="189"/>
      <c r="N13" s="189"/>
    </row>
    <row r="14" spans="1:14" ht="16.2" customHeight="1">
      <c r="A14" s="326"/>
      <c r="B14" s="191" t="s">
        <v>1119</v>
      </c>
      <c r="C14" s="192" t="s">
        <v>1120</v>
      </c>
      <c r="D14" s="166"/>
      <c r="E14" s="85" t="s">
        <v>1121</v>
      </c>
      <c r="F14" s="189"/>
      <c r="G14" s="189"/>
      <c r="H14" s="189"/>
      <c r="I14" s="189"/>
      <c r="J14" s="189"/>
      <c r="K14" s="189"/>
      <c r="L14" s="189"/>
      <c r="M14" s="189"/>
      <c r="N14" s="189"/>
    </row>
    <row r="15" spans="1:14" ht="16.2" customHeight="1">
      <c r="A15" s="326"/>
      <c r="B15" s="191" t="s">
        <v>1122</v>
      </c>
      <c r="C15" s="192" t="s">
        <v>1109</v>
      </c>
      <c r="D15" s="166"/>
      <c r="E15" s="85" t="s">
        <v>1110</v>
      </c>
      <c r="F15" s="189"/>
      <c r="G15" s="189"/>
      <c r="H15" s="189"/>
      <c r="I15" s="189"/>
      <c r="J15" s="189"/>
      <c r="K15" s="189"/>
      <c r="L15" s="189"/>
      <c r="M15" s="189"/>
      <c r="N15" s="189"/>
    </row>
    <row r="16" spans="1:14" ht="16.2" customHeight="1">
      <c r="A16" s="326"/>
      <c r="B16" s="191" t="s">
        <v>1123</v>
      </c>
      <c r="C16" s="192" t="s">
        <v>1109</v>
      </c>
      <c r="D16" s="166"/>
      <c r="E16" s="85" t="s">
        <v>1110</v>
      </c>
      <c r="F16" s="189"/>
      <c r="G16" s="189"/>
      <c r="H16" s="189"/>
      <c r="I16" s="189"/>
      <c r="J16" s="189"/>
      <c r="K16" s="189"/>
      <c r="L16" s="189"/>
      <c r="M16" s="189"/>
      <c r="N16" s="189"/>
    </row>
    <row r="17" spans="1:14" ht="16.2" customHeight="1">
      <c r="A17" s="326"/>
      <c r="B17" s="191" t="s">
        <v>1124</v>
      </c>
      <c r="C17" s="192" t="s">
        <v>1109</v>
      </c>
      <c r="D17" s="166"/>
      <c r="E17" s="85" t="s">
        <v>1110</v>
      </c>
      <c r="F17" s="189"/>
      <c r="G17" s="189"/>
      <c r="H17" s="189"/>
      <c r="I17" s="189"/>
      <c r="J17" s="189"/>
      <c r="K17" s="189"/>
      <c r="L17" s="189"/>
      <c r="M17" s="189"/>
      <c r="N17" s="189"/>
    </row>
    <row r="18" spans="1:14" ht="16.2" customHeight="1">
      <c r="A18" s="326"/>
      <c r="B18" s="191" t="s">
        <v>1125</v>
      </c>
      <c r="C18" s="192" t="s">
        <v>1109</v>
      </c>
      <c r="D18" s="166"/>
      <c r="E18" s="85" t="s">
        <v>1110</v>
      </c>
      <c r="F18" s="189"/>
      <c r="G18" s="189"/>
      <c r="H18" s="189"/>
      <c r="I18" s="189"/>
      <c r="J18" s="189"/>
      <c r="K18" s="189"/>
      <c r="L18" s="189"/>
      <c r="M18" s="189"/>
      <c r="N18" s="189"/>
    </row>
    <row r="19" spans="1:14" ht="16.2" customHeight="1">
      <c r="A19" s="326"/>
      <c r="B19" s="191" t="s">
        <v>1126</v>
      </c>
      <c r="C19" s="192" t="s">
        <v>1109</v>
      </c>
      <c r="D19" s="171"/>
      <c r="E19" s="85" t="s">
        <v>1110</v>
      </c>
      <c r="F19" s="189"/>
      <c r="G19" s="189"/>
      <c r="H19" s="189"/>
      <c r="I19" s="189"/>
      <c r="J19" s="189"/>
      <c r="K19" s="189"/>
      <c r="L19" s="189"/>
      <c r="M19" s="189"/>
      <c r="N19" s="189"/>
    </row>
    <row r="20" spans="1:14" ht="16.2" customHeight="1">
      <c r="A20" s="326"/>
      <c r="B20" s="191" t="s">
        <v>1127</v>
      </c>
      <c r="C20" s="192" t="s">
        <v>1109</v>
      </c>
      <c r="D20" s="171"/>
      <c r="E20" s="85" t="s">
        <v>1110</v>
      </c>
      <c r="F20" s="189"/>
      <c r="G20" s="189"/>
      <c r="H20" s="189"/>
      <c r="I20" s="189"/>
      <c r="J20" s="189"/>
      <c r="K20" s="189"/>
      <c r="L20" s="189"/>
      <c r="M20" s="189"/>
      <c r="N20" s="189"/>
    </row>
    <row r="21" spans="1:14" ht="16.2" customHeight="1">
      <c r="A21" s="325" t="s">
        <v>1128</v>
      </c>
      <c r="B21" s="165" t="s">
        <v>1129</v>
      </c>
      <c r="C21" s="167"/>
      <c r="D21" s="173" t="s">
        <v>1130</v>
      </c>
      <c r="E21" s="193" t="s">
        <v>1131</v>
      </c>
      <c r="F21" s="189" t="s">
        <v>1132</v>
      </c>
      <c r="G21" s="189" t="s">
        <v>1132</v>
      </c>
      <c r="H21" s="189" t="s">
        <v>1132</v>
      </c>
      <c r="I21" s="189"/>
      <c r="J21" s="189"/>
      <c r="K21" s="189"/>
      <c r="L21" s="189"/>
      <c r="M21" s="189" t="s">
        <v>1132</v>
      </c>
      <c r="N21" s="189" t="s">
        <v>1132</v>
      </c>
    </row>
    <row r="22" spans="1:14" ht="16.2" customHeight="1">
      <c r="A22" s="325"/>
      <c r="B22" s="165" t="s">
        <v>1133</v>
      </c>
      <c r="C22" s="167"/>
      <c r="D22" s="166" t="s">
        <v>1134</v>
      </c>
      <c r="E22" s="193" t="s">
        <v>1131</v>
      </c>
      <c r="F22" s="189" t="s">
        <v>1132</v>
      </c>
      <c r="G22" s="189" t="s">
        <v>1132</v>
      </c>
      <c r="H22" s="189" t="s">
        <v>1132</v>
      </c>
      <c r="I22" s="189"/>
      <c r="J22" s="189"/>
      <c r="K22" s="189"/>
      <c r="L22" s="189"/>
      <c r="M22" s="189" t="s">
        <v>1132</v>
      </c>
      <c r="N22" s="189" t="s">
        <v>1132</v>
      </c>
    </row>
    <row r="23" spans="1:14" ht="16.2" customHeight="1">
      <c r="A23" s="326"/>
      <c r="B23" s="165" t="s">
        <v>1135</v>
      </c>
      <c r="C23" s="167" t="s">
        <v>1136</v>
      </c>
      <c r="D23" s="166"/>
      <c r="E23" s="193" t="s">
        <v>1137</v>
      </c>
      <c r="F23" s="189" t="s">
        <v>1132</v>
      </c>
      <c r="G23" s="189" t="s">
        <v>1132</v>
      </c>
      <c r="H23" s="189" t="s">
        <v>1132</v>
      </c>
      <c r="I23" s="189"/>
      <c r="J23" s="189"/>
      <c r="K23" s="189" t="s">
        <v>1132</v>
      </c>
      <c r="L23" s="189" t="s">
        <v>1132</v>
      </c>
      <c r="M23" s="189" t="s">
        <v>1132</v>
      </c>
      <c r="N23" s="189"/>
    </row>
    <row r="24" spans="1:14" ht="16.2" customHeight="1">
      <c r="A24" s="326"/>
      <c r="B24" s="165" t="s">
        <v>1138</v>
      </c>
      <c r="C24" s="167"/>
      <c r="D24" s="166" t="s">
        <v>1139</v>
      </c>
      <c r="E24" s="193" t="s">
        <v>1137</v>
      </c>
      <c r="F24" s="189" t="s">
        <v>1132</v>
      </c>
      <c r="G24" s="189" t="s">
        <v>1132</v>
      </c>
      <c r="H24" s="189" t="s">
        <v>1132</v>
      </c>
      <c r="I24" s="189"/>
      <c r="J24" s="189"/>
      <c r="K24" s="189" t="s">
        <v>1132</v>
      </c>
      <c r="L24" s="189" t="s">
        <v>1132</v>
      </c>
      <c r="M24" s="189" t="s">
        <v>1132</v>
      </c>
      <c r="N24" s="189"/>
    </row>
    <row r="25" spans="1:14" ht="16.2" customHeight="1">
      <c r="A25" s="326"/>
      <c r="B25" s="191" t="s">
        <v>1140</v>
      </c>
      <c r="C25" s="192" t="s">
        <v>1120</v>
      </c>
      <c r="D25" s="166"/>
      <c r="E25" s="193" t="s">
        <v>1141</v>
      </c>
      <c r="F25" s="189" t="s">
        <v>1142</v>
      </c>
      <c r="G25" s="189" t="s">
        <v>1142</v>
      </c>
      <c r="H25" s="189" t="s">
        <v>1142</v>
      </c>
      <c r="I25" s="189"/>
      <c r="J25" s="189"/>
      <c r="K25" s="189"/>
      <c r="L25" s="189"/>
      <c r="M25" s="189" t="s">
        <v>1142</v>
      </c>
      <c r="N25" s="189" t="s">
        <v>1142</v>
      </c>
    </row>
    <row r="26" spans="1:14" ht="16.2" customHeight="1">
      <c r="A26" s="326"/>
      <c r="B26" s="174" t="s">
        <v>1143</v>
      </c>
      <c r="C26" s="181"/>
      <c r="D26" s="175" t="s">
        <v>1144</v>
      </c>
      <c r="E26" s="193" t="s">
        <v>1141</v>
      </c>
      <c r="F26" s="189" t="s">
        <v>1142</v>
      </c>
      <c r="G26" s="189" t="s">
        <v>1142</v>
      </c>
      <c r="H26" s="189" t="s">
        <v>1142</v>
      </c>
      <c r="I26" s="189"/>
      <c r="J26" s="189"/>
      <c r="K26" s="189"/>
      <c r="L26" s="189"/>
      <c r="M26" s="189" t="s">
        <v>1142</v>
      </c>
      <c r="N26" s="189" t="s">
        <v>1142</v>
      </c>
    </row>
    <row r="27" spans="1:14" ht="16.2" customHeight="1">
      <c r="A27" s="326"/>
      <c r="B27" s="174" t="s">
        <v>1145</v>
      </c>
      <c r="C27" s="181"/>
      <c r="D27" s="175" t="s">
        <v>1144</v>
      </c>
      <c r="E27" s="193" t="s">
        <v>1141</v>
      </c>
      <c r="F27" s="189" t="s">
        <v>1142</v>
      </c>
      <c r="G27" s="189" t="s">
        <v>1142</v>
      </c>
      <c r="H27" s="189" t="s">
        <v>1142</v>
      </c>
      <c r="I27" s="189"/>
      <c r="J27" s="189"/>
      <c r="K27" s="189"/>
      <c r="L27" s="189"/>
      <c r="M27" s="189" t="s">
        <v>1142</v>
      </c>
      <c r="N27" s="189" t="s">
        <v>1142</v>
      </c>
    </row>
    <row r="28" spans="1:14" ht="16.2" customHeight="1">
      <c r="A28" s="326"/>
      <c r="B28" s="165" t="s">
        <v>1146</v>
      </c>
      <c r="C28" s="167" t="s">
        <v>1147</v>
      </c>
      <c r="D28" s="166"/>
      <c r="E28" s="193" t="s">
        <v>1121</v>
      </c>
      <c r="F28" s="189"/>
      <c r="G28" s="189"/>
      <c r="H28" s="189"/>
      <c r="I28" s="189"/>
      <c r="J28" s="189"/>
      <c r="K28" s="189"/>
      <c r="L28" s="189"/>
      <c r="M28" s="189"/>
      <c r="N28" s="189"/>
    </row>
    <row r="29" spans="1:14" ht="18.45" customHeight="1">
      <c r="A29" s="326"/>
      <c r="B29" s="165" t="s">
        <v>1148</v>
      </c>
      <c r="C29" s="167"/>
      <c r="D29" s="176" t="s">
        <v>1144</v>
      </c>
      <c r="E29" s="193" t="s">
        <v>1141</v>
      </c>
      <c r="F29" s="189" t="s">
        <v>1142</v>
      </c>
      <c r="G29" s="189" t="s">
        <v>1142</v>
      </c>
      <c r="H29" s="189" t="s">
        <v>1142</v>
      </c>
      <c r="I29" s="189"/>
      <c r="J29" s="189"/>
      <c r="K29" s="189"/>
      <c r="L29" s="189"/>
      <c r="M29" s="189" t="s">
        <v>1142</v>
      </c>
      <c r="N29" s="189" t="s">
        <v>1142</v>
      </c>
    </row>
    <row r="30" spans="1:14" ht="16.2" customHeight="1">
      <c r="A30" s="326"/>
      <c r="B30" s="194" t="s">
        <v>1149</v>
      </c>
      <c r="C30" s="192"/>
      <c r="D30" s="236" t="s">
        <v>1144</v>
      </c>
      <c r="E30" s="86" t="s">
        <v>1131</v>
      </c>
      <c r="F30" s="199" t="s">
        <v>1132</v>
      </c>
      <c r="G30" s="199" t="s">
        <v>1132</v>
      </c>
      <c r="H30" s="199" t="s">
        <v>1132</v>
      </c>
      <c r="I30" s="235"/>
      <c r="J30" s="235"/>
      <c r="K30" s="235"/>
      <c r="L30" s="235"/>
      <c r="M30" s="199" t="s">
        <v>1132</v>
      </c>
      <c r="N30" s="199" t="s">
        <v>1132</v>
      </c>
    </row>
    <row r="31" spans="1:14" ht="16.2" customHeight="1">
      <c r="A31" s="326"/>
      <c r="B31" s="165" t="s">
        <v>1150</v>
      </c>
      <c r="C31" s="167"/>
      <c r="D31" s="175" t="s">
        <v>1139</v>
      </c>
      <c r="E31" s="193" t="s">
        <v>1151</v>
      </c>
      <c r="F31" s="189" t="s">
        <v>1142</v>
      </c>
      <c r="G31" s="189" t="s">
        <v>1142</v>
      </c>
      <c r="H31" s="189" t="s">
        <v>1142</v>
      </c>
      <c r="I31" s="189"/>
      <c r="J31" s="189"/>
      <c r="K31" s="189" t="s">
        <v>1142</v>
      </c>
      <c r="L31" s="189" t="s">
        <v>1142</v>
      </c>
      <c r="M31" s="189" t="s">
        <v>1142</v>
      </c>
      <c r="N31" s="189"/>
    </row>
    <row r="32" spans="1:14" ht="16.2" customHeight="1">
      <c r="A32" s="326"/>
      <c r="B32" s="165" t="s">
        <v>1152</v>
      </c>
      <c r="C32" s="167"/>
      <c r="D32" s="175" t="s">
        <v>1139</v>
      </c>
      <c r="E32" s="193" t="s">
        <v>1151</v>
      </c>
      <c r="F32" s="189" t="s">
        <v>1142</v>
      </c>
      <c r="G32" s="189" t="s">
        <v>1142</v>
      </c>
      <c r="H32" s="189" t="s">
        <v>1142</v>
      </c>
      <c r="I32" s="189"/>
      <c r="J32" s="189"/>
      <c r="K32" s="189" t="s">
        <v>1142</v>
      </c>
      <c r="L32" s="189" t="s">
        <v>1142</v>
      </c>
      <c r="M32" s="189" t="s">
        <v>1142</v>
      </c>
      <c r="N32" s="189"/>
    </row>
    <row r="33" spans="1:14" ht="16.2" customHeight="1">
      <c r="A33" s="326"/>
      <c r="B33" s="194" t="s">
        <v>1153</v>
      </c>
      <c r="C33" s="192" t="s">
        <v>1109</v>
      </c>
      <c r="D33" s="175"/>
      <c r="E33" s="193" t="s">
        <v>1110</v>
      </c>
      <c r="F33" s="189"/>
      <c r="G33" s="189"/>
      <c r="H33" s="189"/>
      <c r="I33" s="189"/>
      <c r="J33" s="189"/>
      <c r="K33" s="189"/>
      <c r="L33" s="189"/>
      <c r="M33" s="189"/>
      <c r="N33" s="189"/>
    </row>
    <row r="34" spans="1:14" ht="16.2" customHeight="1">
      <c r="A34" s="326"/>
      <c r="B34" s="194" t="s">
        <v>1154</v>
      </c>
      <c r="C34" s="192" t="s">
        <v>1120</v>
      </c>
      <c r="D34" s="175"/>
      <c r="E34" s="193" t="s">
        <v>1155</v>
      </c>
      <c r="F34" s="189" t="s">
        <v>1142</v>
      </c>
      <c r="G34" s="189" t="s">
        <v>1142</v>
      </c>
      <c r="H34" s="189" t="s">
        <v>1142</v>
      </c>
      <c r="I34" s="189"/>
      <c r="J34" s="189"/>
      <c r="K34" s="189"/>
      <c r="L34" s="189"/>
      <c r="M34" s="189"/>
      <c r="N34" s="189" t="s">
        <v>1142</v>
      </c>
    </row>
    <row r="35" spans="1:14" ht="16.2" customHeight="1">
      <c r="A35" s="326"/>
      <c r="B35" s="195" t="s">
        <v>1156</v>
      </c>
      <c r="C35" s="192" t="s">
        <v>1120</v>
      </c>
      <c r="D35" s="196"/>
      <c r="E35" s="193" t="s">
        <v>1121</v>
      </c>
      <c r="F35" s="189"/>
      <c r="G35" s="189"/>
      <c r="H35" s="189"/>
      <c r="I35" s="189"/>
      <c r="J35" s="189"/>
      <c r="K35" s="189"/>
      <c r="L35" s="189"/>
      <c r="M35" s="189"/>
      <c r="N35" s="189"/>
    </row>
    <row r="36" spans="1:14" ht="16.2" customHeight="1">
      <c r="A36" s="326"/>
      <c r="B36" s="197" t="s">
        <v>1157</v>
      </c>
      <c r="C36" s="192" t="s">
        <v>1120</v>
      </c>
      <c r="D36" s="198"/>
      <c r="E36" s="85" t="s">
        <v>1121</v>
      </c>
      <c r="F36" s="189"/>
      <c r="G36" s="189"/>
      <c r="H36" s="189"/>
      <c r="I36" s="189"/>
      <c r="J36" s="189"/>
      <c r="K36" s="189"/>
      <c r="L36" s="189"/>
      <c r="M36" s="189"/>
      <c r="N36" s="189"/>
    </row>
    <row r="37" spans="1:14" ht="16.2" customHeight="1">
      <c r="A37" s="326"/>
      <c r="B37" s="197" t="s">
        <v>1158</v>
      </c>
      <c r="C37" s="192" t="s">
        <v>1120</v>
      </c>
      <c r="D37" s="198"/>
      <c r="E37" s="85" t="s">
        <v>1121</v>
      </c>
      <c r="F37" s="189"/>
      <c r="G37" s="189"/>
      <c r="H37" s="189"/>
      <c r="I37" s="189"/>
      <c r="J37" s="189"/>
      <c r="K37" s="189"/>
      <c r="L37" s="189"/>
      <c r="M37" s="189"/>
      <c r="N37" s="189"/>
    </row>
    <row r="38" spans="1:14" ht="16.2" customHeight="1">
      <c r="A38" s="326"/>
      <c r="B38" s="191" t="s">
        <v>1159</v>
      </c>
      <c r="C38" s="192" t="s">
        <v>1109</v>
      </c>
      <c r="D38" s="166"/>
      <c r="E38" s="85" t="s">
        <v>1110</v>
      </c>
      <c r="F38" s="189"/>
      <c r="G38" s="189"/>
      <c r="H38" s="189"/>
      <c r="I38" s="189"/>
      <c r="J38" s="189"/>
      <c r="K38" s="189"/>
      <c r="L38" s="189"/>
      <c r="M38" s="189"/>
      <c r="N38" s="189"/>
    </row>
    <row r="39" spans="1:14" ht="16.2" customHeight="1">
      <c r="A39" s="326"/>
      <c r="B39" s="191" t="s">
        <v>1160</v>
      </c>
      <c r="C39" s="192" t="s">
        <v>1109</v>
      </c>
      <c r="D39" s="166"/>
      <c r="E39" s="85" t="s">
        <v>1110</v>
      </c>
      <c r="F39" s="189"/>
      <c r="G39" s="189"/>
      <c r="H39" s="189"/>
      <c r="I39" s="189"/>
      <c r="J39" s="189"/>
      <c r="K39" s="189"/>
      <c r="L39" s="189"/>
      <c r="M39" s="189"/>
      <c r="N39" s="189"/>
    </row>
    <row r="40" spans="1:14" ht="16.2" customHeight="1">
      <c r="A40" s="326"/>
      <c r="B40" s="191" t="s">
        <v>1161</v>
      </c>
      <c r="C40" s="192" t="s">
        <v>1109</v>
      </c>
      <c r="D40" s="166"/>
      <c r="E40" s="85" t="s">
        <v>1162</v>
      </c>
      <c r="F40" s="189" t="s">
        <v>1132</v>
      </c>
      <c r="G40" s="189" t="s">
        <v>1132</v>
      </c>
      <c r="H40" s="189"/>
      <c r="I40" s="189"/>
      <c r="J40" s="189"/>
      <c r="K40" s="189"/>
      <c r="L40" s="189"/>
      <c r="M40" s="189" t="s">
        <v>1132</v>
      </c>
      <c r="N40" s="189"/>
    </row>
    <row r="41" spans="1:14" ht="16.2" customHeight="1">
      <c r="A41" s="326"/>
      <c r="B41" s="191" t="s">
        <v>1163</v>
      </c>
      <c r="C41" s="192" t="s">
        <v>1109</v>
      </c>
      <c r="D41" s="177"/>
      <c r="E41" s="85" t="s">
        <v>1110</v>
      </c>
      <c r="F41" s="189"/>
      <c r="G41" s="189"/>
      <c r="H41" s="189"/>
      <c r="I41" s="189"/>
      <c r="J41" s="189"/>
      <c r="K41" s="189"/>
      <c r="L41" s="189"/>
      <c r="M41" s="189"/>
      <c r="N41" s="189"/>
    </row>
    <row r="42" spans="1:14" ht="16.2" customHeight="1">
      <c r="A42" s="326"/>
      <c r="B42" s="194" t="s">
        <v>1164</v>
      </c>
      <c r="C42" s="192" t="s">
        <v>1109</v>
      </c>
      <c r="D42" s="177"/>
      <c r="E42" s="85" t="s">
        <v>1110</v>
      </c>
      <c r="F42" s="189"/>
      <c r="G42" s="189"/>
      <c r="H42" s="189"/>
      <c r="I42" s="189"/>
      <c r="J42" s="189"/>
      <c r="K42" s="189"/>
      <c r="L42" s="189"/>
      <c r="M42" s="189"/>
      <c r="N42" s="189"/>
    </row>
    <row r="43" spans="1:14" ht="16.2" customHeight="1">
      <c r="A43" s="326"/>
      <c r="B43" s="191" t="s">
        <v>1165</v>
      </c>
      <c r="C43" s="192" t="s">
        <v>1109</v>
      </c>
      <c r="D43" s="166"/>
      <c r="E43" s="85" t="s">
        <v>1110</v>
      </c>
      <c r="F43" s="189"/>
      <c r="G43" s="189"/>
      <c r="H43" s="189"/>
      <c r="I43" s="189"/>
      <c r="J43" s="189"/>
      <c r="K43" s="189"/>
      <c r="L43" s="189"/>
      <c r="M43" s="189"/>
      <c r="N43" s="189"/>
    </row>
    <row r="44" spans="1:14" ht="16.2" customHeight="1">
      <c r="A44" s="326"/>
      <c r="B44" s="191" t="s">
        <v>1166</v>
      </c>
      <c r="C44" s="192" t="s">
        <v>1167</v>
      </c>
      <c r="D44" s="166"/>
      <c r="E44" s="85" t="s">
        <v>1168</v>
      </c>
      <c r="F44" s="189"/>
      <c r="G44" s="189"/>
      <c r="H44" s="189"/>
      <c r="I44" s="189"/>
      <c r="J44" s="189"/>
      <c r="K44" s="189"/>
      <c r="L44" s="189"/>
      <c r="M44" s="189"/>
      <c r="N44" s="189"/>
    </row>
    <row r="45" spans="1:14" ht="16.2" customHeight="1">
      <c r="A45" s="326"/>
      <c r="B45" s="191" t="s">
        <v>1169</v>
      </c>
      <c r="C45" s="192" t="s">
        <v>1167</v>
      </c>
      <c r="D45" s="166"/>
      <c r="E45" s="85" t="s">
        <v>1168</v>
      </c>
      <c r="F45" s="189"/>
      <c r="G45" s="189"/>
      <c r="H45" s="189"/>
      <c r="I45" s="189"/>
      <c r="J45" s="189"/>
      <c r="K45" s="189"/>
      <c r="L45" s="189"/>
      <c r="M45" s="189"/>
      <c r="N45" s="189"/>
    </row>
    <row r="46" spans="1:14" ht="16.2" customHeight="1">
      <c r="A46" s="326"/>
      <c r="B46" s="194" t="s">
        <v>1170</v>
      </c>
      <c r="C46" s="192" t="s">
        <v>1109</v>
      </c>
      <c r="D46" s="175" t="s">
        <v>1171</v>
      </c>
      <c r="E46" s="85" t="s">
        <v>1110</v>
      </c>
      <c r="F46" s="189"/>
      <c r="G46" s="189"/>
      <c r="H46" s="189"/>
      <c r="I46" s="189"/>
      <c r="J46" s="189"/>
      <c r="K46" s="189"/>
      <c r="L46" s="189"/>
      <c r="M46" s="189"/>
      <c r="N46" s="189"/>
    </row>
    <row r="47" spans="1:14">
      <c r="A47" s="326"/>
      <c r="B47" s="191" t="s">
        <v>1172</v>
      </c>
      <c r="C47" s="192" t="s">
        <v>1109</v>
      </c>
      <c r="D47" s="166"/>
      <c r="E47" s="85" t="s">
        <v>1110</v>
      </c>
      <c r="F47" s="189"/>
      <c r="G47" s="189"/>
      <c r="H47" s="189"/>
      <c r="I47" s="189"/>
      <c r="J47" s="189"/>
      <c r="K47" s="189"/>
      <c r="L47" s="189"/>
      <c r="M47" s="189"/>
      <c r="N47" s="189"/>
    </row>
    <row r="48" spans="1:14">
      <c r="A48" s="332" t="s">
        <v>1173</v>
      </c>
      <c r="B48" s="191" t="s">
        <v>1174</v>
      </c>
      <c r="C48" s="192" t="s">
        <v>1109</v>
      </c>
      <c r="D48" s="166"/>
      <c r="E48" s="85" t="s">
        <v>1175</v>
      </c>
      <c r="F48" s="189"/>
      <c r="G48" s="189"/>
      <c r="H48" s="189"/>
      <c r="I48" s="189"/>
      <c r="J48" s="189"/>
      <c r="K48" s="189"/>
      <c r="L48" s="189"/>
      <c r="M48" s="189"/>
      <c r="N48" s="189"/>
    </row>
    <row r="49" spans="1:14">
      <c r="A49" s="333"/>
      <c r="B49" s="191" t="s">
        <v>1176</v>
      </c>
      <c r="C49" s="192" t="s">
        <v>1109</v>
      </c>
      <c r="D49" s="166"/>
      <c r="E49" s="85" t="s">
        <v>1175</v>
      </c>
      <c r="F49" s="189"/>
      <c r="G49" s="189"/>
      <c r="H49" s="189"/>
      <c r="I49" s="189"/>
      <c r="J49" s="189"/>
      <c r="K49" s="189"/>
      <c r="L49" s="189"/>
      <c r="M49" s="189"/>
      <c r="N49" s="189"/>
    </row>
    <row r="50" spans="1:14">
      <c r="A50" s="333"/>
      <c r="B50" s="191" t="s">
        <v>1177</v>
      </c>
      <c r="C50" s="192" t="s">
        <v>1109</v>
      </c>
      <c r="D50" s="166"/>
      <c r="E50" s="85" t="s">
        <v>1175</v>
      </c>
      <c r="F50" s="189"/>
      <c r="G50" s="189"/>
      <c r="H50" s="189"/>
      <c r="I50" s="189"/>
      <c r="J50" s="189"/>
      <c r="K50" s="189"/>
      <c r="L50" s="189"/>
      <c r="M50" s="189"/>
      <c r="N50" s="189"/>
    </row>
    <row r="51" spans="1:14">
      <c r="A51" s="333"/>
      <c r="B51" s="191" t="s">
        <v>1178</v>
      </c>
      <c r="C51" s="192" t="s">
        <v>1109</v>
      </c>
      <c r="D51" s="166"/>
      <c r="E51" s="85" t="s">
        <v>1175</v>
      </c>
      <c r="F51" s="189"/>
      <c r="G51" s="189"/>
      <c r="H51" s="189"/>
      <c r="I51" s="189"/>
      <c r="J51" s="189"/>
      <c r="K51" s="189"/>
      <c r="L51" s="189"/>
      <c r="M51" s="189"/>
      <c r="N51" s="189"/>
    </row>
    <row r="52" spans="1:14">
      <c r="A52" s="333"/>
      <c r="B52" s="191" t="s">
        <v>1179</v>
      </c>
      <c r="C52" s="192" t="s">
        <v>1109</v>
      </c>
      <c r="D52" s="166"/>
      <c r="E52" s="85" t="s">
        <v>1175</v>
      </c>
      <c r="F52" s="189"/>
      <c r="G52" s="189"/>
      <c r="H52" s="189"/>
      <c r="I52" s="189"/>
      <c r="J52" s="189"/>
      <c r="K52" s="189"/>
      <c r="L52" s="189"/>
      <c r="M52" s="189"/>
      <c r="N52" s="189"/>
    </row>
    <row r="53" spans="1:14">
      <c r="A53" s="333"/>
      <c r="B53" s="191" t="s">
        <v>79</v>
      </c>
      <c r="C53" s="192" t="s">
        <v>1108</v>
      </c>
      <c r="D53" s="166"/>
      <c r="E53" s="85" t="s">
        <v>1180</v>
      </c>
      <c r="F53" s="189"/>
      <c r="G53" s="189"/>
      <c r="H53" s="189"/>
      <c r="I53" s="189"/>
      <c r="J53" s="189"/>
      <c r="K53" s="189"/>
      <c r="L53" s="189"/>
      <c r="M53" s="189"/>
      <c r="N53" s="189"/>
    </row>
    <row r="54" spans="1:14">
      <c r="A54" s="333"/>
      <c r="B54" s="191" t="s">
        <v>1181</v>
      </c>
      <c r="C54" s="192" t="s">
        <v>1109</v>
      </c>
      <c r="D54" s="166"/>
      <c r="E54" s="85" t="s">
        <v>1175</v>
      </c>
      <c r="F54" s="189"/>
      <c r="G54" s="189"/>
      <c r="H54" s="189"/>
      <c r="I54" s="189"/>
      <c r="J54" s="189"/>
      <c r="K54" s="189"/>
      <c r="L54" s="189"/>
      <c r="M54" s="189"/>
      <c r="N54" s="189"/>
    </row>
    <row r="55" spans="1:14">
      <c r="A55" s="333"/>
      <c r="B55" s="191" t="s">
        <v>1182</v>
      </c>
      <c r="C55" s="192" t="s">
        <v>1109</v>
      </c>
      <c r="D55" s="166"/>
      <c r="E55" s="85" t="s">
        <v>1175</v>
      </c>
      <c r="F55" s="189"/>
      <c r="G55" s="189"/>
      <c r="H55" s="189"/>
      <c r="I55" s="189"/>
      <c r="J55" s="189"/>
      <c r="K55" s="189"/>
      <c r="L55" s="189"/>
      <c r="M55" s="189"/>
      <c r="N55" s="189"/>
    </row>
    <row r="56" spans="1:14">
      <c r="A56" s="333"/>
      <c r="B56" s="191" t="s">
        <v>1183</v>
      </c>
      <c r="C56" s="192" t="s">
        <v>1109</v>
      </c>
      <c r="D56" s="166"/>
      <c r="E56" s="85" t="s">
        <v>1175</v>
      </c>
      <c r="F56" s="189"/>
      <c r="G56" s="189"/>
      <c r="H56" s="189"/>
      <c r="I56" s="189"/>
      <c r="J56" s="189"/>
      <c r="K56" s="189"/>
      <c r="L56" s="189"/>
      <c r="M56" s="189"/>
      <c r="N56" s="189"/>
    </row>
    <row r="57" spans="1:14">
      <c r="A57" s="333"/>
      <c r="B57" s="191" t="s">
        <v>1184</v>
      </c>
      <c r="C57" s="192" t="s">
        <v>1109</v>
      </c>
      <c r="D57" s="166"/>
      <c r="E57" s="85" t="s">
        <v>1175</v>
      </c>
      <c r="F57" s="189"/>
      <c r="G57" s="189"/>
      <c r="H57" s="189"/>
      <c r="I57" s="189"/>
      <c r="J57" s="189"/>
      <c r="K57" s="189"/>
      <c r="L57" s="189"/>
      <c r="M57" s="189"/>
      <c r="N57" s="189"/>
    </row>
    <row r="58" spans="1:14">
      <c r="A58" s="333"/>
      <c r="B58" s="191" t="s">
        <v>1124</v>
      </c>
      <c r="C58" s="192" t="s">
        <v>1109</v>
      </c>
      <c r="D58" s="166"/>
      <c r="E58" s="85" t="s">
        <v>1175</v>
      </c>
      <c r="F58" s="189"/>
      <c r="G58" s="189"/>
      <c r="H58" s="189"/>
      <c r="I58" s="189"/>
      <c r="J58" s="189"/>
      <c r="K58" s="189"/>
      <c r="L58" s="189"/>
      <c r="M58" s="189"/>
      <c r="N58" s="189"/>
    </row>
    <row r="59" spans="1:14">
      <c r="A59" s="333"/>
      <c r="B59" s="191" t="s">
        <v>1185</v>
      </c>
      <c r="C59" s="192" t="s">
        <v>1109</v>
      </c>
      <c r="D59" s="166"/>
      <c r="E59" s="85" t="s">
        <v>1175</v>
      </c>
      <c r="F59" s="189"/>
      <c r="G59" s="189"/>
      <c r="H59" s="189"/>
      <c r="I59" s="189"/>
      <c r="J59" s="189"/>
      <c r="K59" s="189"/>
      <c r="L59" s="189"/>
      <c r="M59" s="189"/>
      <c r="N59" s="189"/>
    </row>
    <row r="60" spans="1:14" ht="16.2" customHeight="1">
      <c r="A60" s="333"/>
      <c r="B60" s="191" t="s">
        <v>1186</v>
      </c>
      <c r="C60" s="192" t="s">
        <v>1109</v>
      </c>
      <c r="D60" s="166"/>
      <c r="E60" s="85" t="s">
        <v>1175</v>
      </c>
      <c r="F60" s="189"/>
      <c r="G60" s="189"/>
      <c r="H60" s="189"/>
      <c r="I60" s="189"/>
      <c r="J60" s="189"/>
      <c r="K60" s="189"/>
      <c r="L60" s="189"/>
      <c r="M60" s="189"/>
      <c r="N60" s="189"/>
    </row>
    <row r="61" spans="1:14" ht="16.2" customHeight="1">
      <c r="A61" s="333"/>
      <c r="B61" s="191" t="s">
        <v>1262</v>
      </c>
      <c r="C61" s="192" t="s">
        <v>1109</v>
      </c>
      <c r="D61" s="166"/>
      <c r="E61" s="85" t="s">
        <v>1175</v>
      </c>
      <c r="F61" s="189"/>
      <c r="G61" s="189"/>
      <c r="H61" s="189"/>
      <c r="I61" s="189"/>
      <c r="J61" s="189"/>
      <c r="K61" s="189"/>
      <c r="L61" s="189"/>
      <c r="M61" s="189"/>
      <c r="N61" s="189"/>
    </row>
    <row r="62" spans="1:14" ht="16.2" customHeight="1">
      <c r="A62" s="333"/>
      <c r="B62" s="191" t="s">
        <v>1187</v>
      </c>
      <c r="C62" s="192" t="s">
        <v>1109</v>
      </c>
      <c r="D62" s="166"/>
      <c r="E62" s="85" t="s">
        <v>1175</v>
      </c>
      <c r="F62" s="189"/>
      <c r="G62" s="189"/>
      <c r="H62" s="189"/>
      <c r="I62" s="189"/>
      <c r="J62" s="189"/>
      <c r="K62" s="189"/>
      <c r="L62" s="189"/>
      <c r="M62" s="189"/>
      <c r="N62" s="189"/>
    </row>
    <row r="63" spans="1:14" ht="16.2" customHeight="1">
      <c r="A63" s="325" t="s">
        <v>1188</v>
      </c>
      <c r="B63" s="191" t="s">
        <v>1189</v>
      </c>
      <c r="C63" s="192" t="s">
        <v>1109</v>
      </c>
      <c r="D63" s="166"/>
      <c r="E63" s="85" t="s">
        <v>1110</v>
      </c>
      <c r="F63" s="189"/>
      <c r="G63" s="189"/>
      <c r="H63" s="189"/>
      <c r="I63" s="189"/>
      <c r="J63" s="189"/>
      <c r="K63" s="189"/>
      <c r="L63" s="189"/>
      <c r="M63" s="189"/>
      <c r="N63" s="189"/>
    </row>
    <row r="64" spans="1:14" ht="16.95" customHeight="1">
      <c r="A64" s="326"/>
      <c r="B64" s="191" t="s">
        <v>1190</v>
      </c>
      <c r="C64" s="192" t="s">
        <v>1109</v>
      </c>
      <c r="D64" s="166"/>
      <c r="E64" s="85" t="s">
        <v>1110</v>
      </c>
      <c r="F64" s="189"/>
      <c r="G64" s="189"/>
      <c r="H64" s="189"/>
      <c r="I64" s="189"/>
      <c r="J64" s="189"/>
      <c r="K64" s="189"/>
      <c r="L64" s="189"/>
      <c r="M64" s="189"/>
      <c r="N64" s="189"/>
    </row>
    <row r="65" spans="1:14" ht="16.2" customHeight="1">
      <c r="A65" s="326"/>
      <c r="B65" s="191" t="s">
        <v>1191</v>
      </c>
      <c r="C65" s="192" t="s">
        <v>1109</v>
      </c>
      <c r="D65" s="166"/>
      <c r="E65" s="85" t="s">
        <v>1110</v>
      </c>
      <c r="F65" s="189"/>
      <c r="G65" s="189"/>
      <c r="H65" s="189"/>
      <c r="I65" s="189"/>
      <c r="J65" s="189"/>
      <c r="K65" s="189"/>
      <c r="L65" s="189"/>
      <c r="M65" s="189"/>
      <c r="N65" s="189"/>
    </row>
    <row r="66" spans="1:14" ht="16.2" customHeight="1">
      <c r="A66" s="326"/>
      <c r="B66" s="191" t="s">
        <v>1192</v>
      </c>
      <c r="C66" s="192" t="s">
        <v>1109</v>
      </c>
      <c r="D66" s="178"/>
      <c r="E66" s="85" t="s">
        <v>1110</v>
      </c>
      <c r="F66" s="189"/>
      <c r="G66" s="189"/>
      <c r="H66" s="189"/>
      <c r="I66" s="189"/>
      <c r="J66" s="189"/>
      <c r="K66" s="189"/>
      <c r="L66" s="189"/>
      <c r="M66" s="189"/>
      <c r="N66" s="189"/>
    </row>
    <row r="67" spans="1:14" ht="16.2" customHeight="1">
      <c r="A67" s="326"/>
      <c r="B67" s="191" t="s">
        <v>1193</v>
      </c>
      <c r="C67" s="192" t="s">
        <v>1109</v>
      </c>
      <c r="D67" s="178"/>
      <c r="E67" s="85" t="s">
        <v>1110</v>
      </c>
      <c r="F67" s="189"/>
      <c r="G67" s="189"/>
      <c r="H67" s="189"/>
      <c r="I67" s="189"/>
      <c r="J67" s="189"/>
      <c r="K67" s="189"/>
      <c r="L67" s="189"/>
      <c r="M67" s="189"/>
      <c r="N67" s="189"/>
    </row>
    <row r="68" spans="1:14" ht="16.2" customHeight="1" thickBot="1">
      <c r="A68" s="334"/>
      <c r="B68" s="281" t="s">
        <v>1194</v>
      </c>
      <c r="C68" s="282" t="s">
        <v>1109</v>
      </c>
      <c r="D68" s="283"/>
      <c r="E68" s="85" t="s">
        <v>1110</v>
      </c>
      <c r="F68" s="189"/>
      <c r="G68" s="189"/>
      <c r="H68" s="189"/>
      <c r="I68" s="189"/>
      <c r="J68" s="189"/>
      <c r="K68" s="189"/>
      <c r="L68" s="189"/>
      <c r="M68" s="189"/>
      <c r="N68" s="189"/>
    </row>
    <row r="69" spans="1:14" ht="17.399999999999999" customHeight="1">
      <c r="A69" s="335" t="s">
        <v>1195</v>
      </c>
      <c r="B69" s="288" t="s">
        <v>1196</v>
      </c>
      <c r="C69" s="289" t="s">
        <v>1109</v>
      </c>
      <c r="D69" s="290" t="s">
        <v>1197</v>
      </c>
      <c r="E69" s="280" t="s">
        <v>1198</v>
      </c>
      <c r="F69" s="189" t="s">
        <v>1132</v>
      </c>
      <c r="G69" s="189" t="s">
        <v>1132</v>
      </c>
      <c r="H69" s="189" t="s">
        <v>1132</v>
      </c>
      <c r="I69" s="189"/>
      <c r="J69" s="189"/>
      <c r="K69" s="189"/>
      <c r="L69" s="189"/>
      <c r="M69" s="189"/>
      <c r="N69" s="189"/>
    </row>
    <row r="70" spans="1:14" ht="16.95" customHeight="1">
      <c r="A70" s="336"/>
      <c r="B70" s="191" t="s">
        <v>1164</v>
      </c>
      <c r="C70" s="192" t="s">
        <v>1109</v>
      </c>
      <c r="D70" s="291"/>
      <c r="E70" s="280" t="s">
        <v>1110</v>
      </c>
      <c r="F70" s="189"/>
      <c r="G70" s="189"/>
      <c r="H70" s="189"/>
      <c r="I70" s="189"/>
      <c r="J70" s="189"/>
      <c r="K70" s="189"/>
      <c r="L70" s="189"/>
      <c r="M70" s="189"/>
      <c r="N70" s="189"/>
    </row>
    <row r="71" spans="1:14">
      <c r="A71" s="336"/>
      <c r="B71" s="191" t="s">
        <v>1199</v>
      </c>
      <c r="C71" s="192" t="s">
        <v>1109</v>
      </c>
      <c r="D71" s="292" t="s">
        <v>1200</v>
      </c>
      <c r="E71" s="280" t="s">
        <v>1162</v>
      </c>
      <c r="F71" s="189" t="s">
        <v>1132</v>
      </c>
      <c r="G71" s="189" t="s">
        <v>1132</v>
      </c>
      <c r="H71" s="189"/>
      <c r="I71" s="179"/>
      <c r="J71" s="189"/>
      <c r="K71" s="189"/>
      <c r="L71" s="189"/>
      <c r="M71" s="189" t="s">
        <v>1132</v>
      </c>
      <c r="N71" s="189"/>
    </row>
    <row r="72" spans="1:14" ht="16.2" customHeight="1">
      <c r="A72" s="336"/>
      <c r="B72" s="191" t="s">
        <v>1411</v>
      </c>
      <c r="C72" s="192" t="s">
        <v>1109</v>
      </c>
      <c r="D72" s="293" t="s">
        <v>1412</v>
      </c>
      <c r="E72" s="280" t="s">
        <v>1162</v>
      </c>
      <c r="F72" s="189" t="s">
        <v>1132</v>
      </c>
      <c r="G72" s="189" t="s">
        <v>1132</v>
      </c>
      <c r="H72" s="189"/>
      <c r="I72" s="179"/>
      <c r="J72" s="189"/>
      <c r="K72" s="189"/>
      <c r="L72" s="189"/>
      <c r="M72" s="189" t="s">
        <v>1132</v>
      </c>
      <c r="N72" s="189"/>
    </row>
    <row r="73" spans="1:14" ht="16.2" customHeight="1">
      <c r="A73" s="336"/>
      <c r="B73" s="191" t="s">
        <v>1201</v>
      </c>
      <c r="C73" s="192" t="s">
        <v>1120</v>
      </c>
      <c r="D73" s="293" t="s">
        <v>1413</v>
      </c>
      <c r="E73" s="280" t="s">
        <v>1202</v>
      </c>
      <c r="F73" s="189" t="s">
        <v>1142</v>
      </c>
      <c r="G73" s="189" t="s">
        <v>1142</v>
      </c>
      <c r="H73" s="189" t="s">
        <v>1142</v>
      </c>
      <c r="I73" s="189"/>
      <c r="J73" s="189"/>
      <c r="K73" s="189"/>
      <c r="L73" s="189"/>
      <c r="M73" s="189"/>
      <c r="N73" s="189"/>
    </row>
    <row r="74" spans="1:14" ht="16.2" customHeight="1">
      <c r="A74" s="336"/>
      <c r="B74" s="165" t="s">
        <v>1203</v>
      </c>
      <c r="C74" s="167"/>
      <c r="D74" s="293" t="s">
        <v>1414</v>
      </c>
      <c r="E74" s="280" t="s">
        <v>1204</v>
      </c>
      <c r="F74" s="189" t="s">
        <v>1142</v>
      </c>
      <c r="G74" s="189" t="s">
        <v>1142</v>
      </c>
      <c r="H74" s="189"/>
      <c r="I74" s="179"/>
      <c r="J74" s="189"/>
      <c r="K74" s="189"/>
      <c r="L74" s="189"/>
      <c r="M74" s="189" t="s">
        <v>1142</v>
      </c>
      <c r="N74" s="189"/>
    </row>
    <row r="75" spans="1:14" ht="16.2" customHeight="1" thickBot="1">
      <c r="A75" s="337"/>
      <c r="B75" s="294" t="s">
        <v>1205</v>
      </c>
      <c r="C75" s="295" t="s">
        <v>1109</v>
      </c>
      <c r="D75" s="296" t="s">
        <v>1413</v>
      </c>
      <c r="E75" s="280" t="s">
        <v>1110</v>
      </c>
      <c r="F75" s="189"/>
      <c r="G75" s="189"/>
      <c r="H75" s="189"/>
      <c r="I75" s="189"/>
      <c r="J75" s="189"/>
      <c r="K75" s="189"/>
      <c r="L75" s="189"/>
      <c r="M75" s="189"/>
      <c r="N75" s="189"/>
    </row>
    <row r="76" spans="1:14" ht="16.2" customHeight="1">
      <c r="A76" s="284" t="s">
        <v>1206</v>
      </c>
      <c r="B76" s="285" t="s">
        <v>1206</v>
      </c>
      <c r="C76" s="286" t="s">
        <v>1109</v>
      </c>
      <c r="D76" s="287"/>
      <c r="E76" s="85" t="s">
        <v>1110</v>
      </c>
      <c r="F76" s="189"/>
      <c r="G76" s="189"/>
      <c r="H76" s="189"/>
      <c r="I76" s="189"/>
      <c r="J76" s="189"/>
      <c r="K76" s="189"/>
      <c r="L76" s="189"/>
      <c r="M76" s="189"/>
      <c r="N76" s="189"/>
    </row>
    <row r="77" spans="1:14" ht="16.2" customHeight="1">
      <c r="A77" s="325" t="s">
        <v>1207</v>
      </c>
      <c r="B77" s="191" t="s">
        <v>1208</v>
      </c>
      <c r="C77" s="192" t="s">
        <v>1109</v>
      </c>
      <c r="D77" s="182"/>
      <c r="E77" s="85" t="s">
        <v>1110</v>
      </c>
      <c r="F77" s="189"/>
      <c r="G77" s="189"/>
      <c r="H77" s="189"/>
      <c r="I77" s="189"/>
      <c r="J77" s="189"/>
      <c r="K77" s="189"/>
      <c r="L77" s="189"/>
      <c r="M77" s="189"/>
      <c r="N77" s="189"/>
    </row>
    <row r="78" spans="1:14" ht="16.2" customHeight="1">
      <c r="A78" s="326"/>
      <c r="B78" s="191" t="s">
        <v>1209</v>
      </c>
      <c r="C78" s="192" t="s">
        <v>1109</v>
      </c>
      <c r="D78" s="183"/>
      <c r="E78" s="85" t="s">
        <v>1110</v>
      </c>
      <c r="F78" s="189"/>
      <c r="G78" s="189"/>
      <c r="H78" s="189"/>
      <c r="I78" s="189"/>
      <c r="J78" s="189"/>
      <c r="K78" s="189"/>
      <c r="L78" s="189"/>
      <c r="M78" s="189"/>
      <c r="N78" s="189"/>
    </row>
    <row r="79" spans="1:14" ht="16.2" customHeight="1">
      <c r="A79" s="326"/>
      <c r="B79" s="191" t="s">
        <v>1210</v>
      </c>
      <c r="C79" s="192" t="s">
        <v>1109</v>
      </c>
      <c r="D79" s="183"/>
      <c r="E79" s="85" t="s">
        <v>1110</v>
      </c>
      <c r="F79" s="189"/>
      <c r="G79" s="189"/>
      <c r="H79" s="189"/>
      <c r="I79" s="189"/>
      <c r="J79" s="189"/>
      <c r="K79" s="189"/>
      <c r="L79" s="189"/>
      <c r="M79" s="189"/>
      <c r="N79" s="189"/>
    </row>
    <row r="80" spans="1:14" ht="16.2" customHeight="1">
      <c r="A80" s="326"/>
      <c r="B80" s="191" t="s">
        <v>1211</v>
      </c>
      <c r="C80" s="192" t="s">
        <v>1109</v>
      </c>
      <c r="D80" s="183"/>
      <c r="E80" s="85" t="s">
        <v>1110</v>
      </c>
      <c r="F80" s="189"/>
      <c r="G80" s="189"/>
      <c r="H80" s="189"/>
      <c r="I80" s="189"/>
      <c r="J80" s="189"/>
      <c r="K80" s="189"/>
      <c r="L80" s="189"/>
      <c r="M80" s="189"/>
      <c r="N80" s="189"/>
    </row>
    <row r="81" spans="1:14" ht="16.2" customHeight="1">
      <c r="A81" s="327" t="s">
        <v>1252</v>
      </c>
      <c r="B81" s="165" t="s">
        <v>1212</v>
      </c>
      <c r="C81" s="208" t="s">
        <v>1213</v>
      </c>
      <c r="D81" s="166"/>
      <c r="E81" s="85" t="s">
        <v>1214</v>
      </c>
      <c r="F81" s="231" t="s">
        <v>1132</v>
      </c>
      <c r="G81" s="189"/>
      <c r="H81" s="189"/>
      <c r="I81" s="231" t="s">
        <v>1132</v>
      </c>
      <c r="J81" s="231" t="s">
        <v>1132</v>
      </c>
      <c r="K81" s="189"/>
      <c r="L81" s="189"/>
      <c r="M81" s="189"/>
      <c r="N81" s="189"/>
    </row>
    <row r="82" spans="1:14" ht="16.2" customHeight="1">
      <c r="A82" s="328"/>
      <c r="B82" s="191" t="s">
        <v>1215</v>
      </c>
      <c r="C82" s="192" t="s">
        <v>1109</v>
      </c>
      <c r="D82" s="166"/>
      <c r="E82" s="85" t="s">
        <v>1162</v>
      </c>
      <c r="F82" s="189" t="s">
        <v>1132</v>
      </c>
      <c r="G82" s="189" t="s">
        <v>1132</v>
      </c>
      <c r="H82" s="189"/>
      <c r="I82" s="189"/>
      <c r="J82" s="189"/>
      <c r="K82" s="189"/>
      <c r="L82" s="189"/>
      <c r="M82" s="189" t="s">
        <v>1132</v>
      </c>
      <c r="N82" s="189"/>
    </row>
    <row r="83" spans="1:14" ht="16.2" customHeight="1">
      <c r="A83" s="328"/>
      <c r="B83" s="165" t="s">
        <v>1216</v>
      </c>
      <c r="C83" s="208" t="s">
        <v>1213</v>
      </c>
      <c r="D83" s="175" t="s">
        <v>1217</v>
      </c>
      <c r="E83" s="85" t="s">
        <v>1214</v>
      </c>
      <c r="F83" s="231" t="s">
        <v>1132</v>
      </c>
      <c r="G83" s="189"/>
      <c r="H83" s="189"/>
      <c r="I83" s="231" t="s">
        <v>1132</v>
      </c>
      <c r="J83" s="231" t="s">
        <v>1132</v>
      </c>
      <c r="K83" s="189"/>
      <c r="L83" s="189"/>
      <c r="M83" s="189"/>
      <c r="N83" s="189"/>
    </row>
    <row r="84" spans="1:14" ht="16.2" customHeight="1">
      <c r="A84" s="328"/>
      <c r="B84" s="165" t="s">
        <v>1218</v>
      </c>
      <c r="C84" s="208" t="s">
        <v>1213</v>
      </c>
      <c r="D84" s="175" t="s">
        <v>1217</v>
      </c>
      <c r="E84" s="85" t="s">
        <v>1214</v>
      </c>
      <c r="F84" s="231" t="s">
        <v>1132</v>
      </c>
      <c r="G84" s="189"/>
      <c r="H84" s="189"/>
      <c r="I84" s="231" t="s">
        <v>1132</v>
      </c>
      <c r="J84" s="231" t="s">
        <v>1132</v>
      </c>
      <c r="K84" s="189"/>
      <c r="L84" s="189"/>
      <c r="M84" s="189"/>
      <c r="N84" s="189"/>
    </row>
    <row r="85" spans="1:14" ht="16.2" customHeight="1">
      <c r="A85" s="328"/>
      <c r="B85" s="191" t="s">
        <v>1219</v>
      </c>
      <c r="C85" s="192" t="s">
        <v>1109</v>
      </c>
      <c r="D85" s="175"/>
      <c r="E85" s="85" t="s">
        <v>1110</v>
      </c>
      <c r="F85" s="189"/>
      <c r="G85" s="189"/>
      <c r="H85" s="189"/>
      <c r="I85" s="189"/>
      <c r="J85" s="189"/>
      <c r="K85" s="189"/>
      <c r="L85" s="189"/>
      <c r="M85" s="189"/>
      <c r="N85" s="189"/>
    </row>
    <row r="86" spans="1:14" ht="16.2" customHeight="1">
      <c r="A86" s="328"/>
      <c r="B86" s="165" t="s">
        <v>1220</v>
      </c>
      <c r="C86" s="167" t="s">
        <v>1136</v>
      </c>
      <c r="D86" s="166"/>
      <c r="E86" s="85" t="s">
        <v>1221</v>
      </c>
      <c r="F86" s="189" t="s">
        <v>1132</v>
      </c>
      <c r="G86" s="189" t="s">
        <v>1132</v>
      </c>
      <c r="H86" s="189" t="s">
        <v>1132</v>
      </c>
      <c r="I86" s="189"/>
      <c r="J86" s="189"/>
      <c r="K86" s="189"/>
      <c r="L86" s="189"/>
      <c r="M86" s="189"/>
      <c r="N86" s="189"/>
    </row>
    <row r="87" spans="1:14" ht="16.2" customHeight="1">
      <c r="A87" s="328"/>
      <c r="B87" s="191" t="s">
        <v>1222</v>
      </c>
      <c r="C87" s="209" t="s">
        <v>1223</v>
      </c>
      <c r="D87" s="166"/>
      <c r="E87" s="210" t="s">
        <v>1162</v>
      </c>
      <c r="F87" s="179" t="s">
        <v>1132</v>
      </c>
      <c r="G87" s="179" t="s">
        <v>1132</v>
      </c>
      <c r="H87" s="179"/>
      <c r="I87" s="179"/>
      <c r="J87" s="179"/>
      <c r="K87" s="179"/>
      <c r="L87" s="179"/>
      <c r="M87" s="179" t="s">
        <v>1132</v>
      </c>
      <c r="N87" s="189"/>
    </row>
    <row r="88" spans="1:14" ht="16.2" customHeight="1">
      <c r="A88" s="328"/>
      <c r="B88" s="191" t="s">
        <v>1224</v>
      </c>
      <c r="C88" s="192" t="s">
        <v>1109</v>
      </c>
      <c r="D88" s="166"/>
      <c r="E88" s="85" t="s">
        <v>1110</v>
      </c>
      <c r="F88" s="189"/>
      <c r="G88" s="189"/>
      <c r="H88" s="189"/>
      <c r="I88" s="189"/>
      <c r="J88" s="189"/>
      <c r="K88" s="189"/>
      <c r="L88" s="189"/>
      <c r="M88" s="189"/>
      <c r="N88" s="189"/>
    </row>
    <row r="89" spans="1:14" ht="16.2" customHeight="1">
      <c r="A89" s="328"/>
      <c r="B89" s="191" t="s">
        <v>1225</v>
      </c>
      <c r="C89" s="192" t="s">
        <v>1109</v>
      </c>
      <c r="D89" s="166"/>
      <c r="E89" s="85" t="s">
        <v>1110</v>
      </c>
      <c r="F89" s="189"/>
      <c r="G89" s="189"/>
      <c r="H89" s="189"/>
      <c r="I89" s="189"/>
      <c r="J89" s="189"/>
      <c r="K89" s="189"/>
      <c r="L89" s="189"/>
      <c r="M89" s="189"/>
      <c r="N89" s="189"/>
    </row>
    <row r="90" spans="1:14" ht="16.2" customHeight="1">
      <c r="A90" s="328"/>
      <c r="B90" s="191" t="s">
        <v>1226</v>
      </c>
      <c r="C90" s="192" t="s">
        <v>1109</v>
      </c>
      <c r="D90" s="166"/>
      <c r="E90" s="193" t="s">
        <v>1175</v>
      </c>
      <c r="F90" s="189"/>
      <c r="G90" s="189"/>
      <c r="H90" s="189"/>
      <c r="I90" s="189"/>
      <c r="J90" s="189"/>
      <c r="K90" s="189"/>
      <c r="L90" s="189"/>
      <c r="M90" s="189"/>
      <c r="N90" s="189"/>
    </row>
    <row r="91" spans="1:14" ht="16.2" customHeight="1">
      <c r="A91" s="328"/>
      <c r="B91" s="165" t="s">
        <v>1227</v>
      </c>
      <c r="C91" s="192" t="s">
        <v>1108</v>
      </c>
      <c r="D91" s="363" t="s">
        <v>1256</v>
      </c>
      <c r="E91" s="210" t="s">
        <v>1162</v>
      </c>
      <c r="F91" s="231" t="s">
        <v>1132</v>
      </c>
      <c r="G91" s="231" t="s">
        <v>1132</v>
      </c>
      <c r="H91" s="214"/>
      <c r="I91" s="214"/>
      <c r="J91" s="214"/>
      <c r="K91" s="214"/>
      <c r="L91" s="214"/>
      <c r="M91" s="231" t="s">
        <v>1132</v>
      </c>
      <c r="N91" s="189"/>
    </row>
    <row r="92" spans="1:14" ht="16.95" customHeight="1">
      <c r="A92" s="328"/>
      <c r="B92" s="191" t="s">
        <v>1228</v>
      </c>
      <c r="C92" s="192" t="s">
        <v>1109</v>
      </c>
      <c r="D92" s="166"/>
      <c r="E92" s="85" t="s">
        <v>1110</v>
      </c>
      <c r="F92" s="189"/>
      <c r="G92" s="189"/>
      <c r="H92" s="189"/>
      <c r="I92" s="189"/>
      <c r="J92" s="189"/>
      <c r="K92" s="189"/>
      <c r="L92" s="189"/>
      <c r="M92" s="189"/>
      <c r="N92" s="189"/>
    </row>
    <row r="93" spans="1:14" ht="16.2" customHeight="1">
      <c r="A93" s="328"/>
      <c r="B93" s="191" t="s">
        <v>1229</v>
      </c>
      <c r="C93" s="192" t="s">
        <v>1109</v>
      </c>
      <c r="D93" s="166"/>
      <c r="E93" s="85" t="s">
        <v>1110</v>
      </c>
      <c r="F93" s="189"/>
      <c r="G93" s="189"/>
      <c r="H93" s="189"/>
      <c r="I93" s="189"/>
      <c r="J93" s="189"/>
      <c r="K93" s="189"/>
      <c r="L93" s="189"/>
      <c r="M93" s="189"/>
      <c r="N93" s="189"/>
    </row>
    <row r="94" spans="1:14" ht="16.2" customHeight="1">
      <c r="A94" s="328"/>
      <c r="B94" s="191" t="s">
        <v>1230</v>
      </c>
      <c r="C94" s="192" t="s">
        <v>1231</v>
      </c>
      <c r="D94" s="166"/>
      <c r="E94" s="85" t="s">
        <v>1232</v>
      </c>
      <c r="F94" s="189"/>
      <c r="G94" s="189"/>
      <c r="H94" s="189"/>
      <c r="I94" s="189"/>
      <c r="J94" s="189"/>
      <c r="K94" s="189"/>
      <c r="L94" s="189"/>
      <c r="M94" s="189"/>
      <c r="N94" s="189"/>
    </row>
    <row r="95" spans="1:14" ht="16.2" customHeight="1">
      <c r="A95" s="328"/>
      <c r="B95" s="165" t="s">
        <v>1233</v>
      </c>
      <c r="C95" s="167"/>
      <c r="D95" s="329" t="s">
        <v>1255</v>
      </c>
      <c r="E95" s="85" t="s">
        <v>1234</v>
      </c>
      <c r="F95" s="189" t="s">
        <v>1235</v>
      </c>
      <c r="G95" s="189" t="s">
        <v>1235</v>
      </c>
      <c r="H95" s="189"/>
      <c r="I95" s="179"/>
      <c r="J95" s="189"/>
      <c r="K95" s="189"/>
      <c r="L95" s="189"/>
      <c r="M95" s="189" t="s">
        <v>1235</v>
      </c>
      <c r="N95" s="189"/>
    </row>
    <row r="96" spans="1:14" ht="16.2" customHeight="1">
      <c r="A96" s="328"/>
      <c r="B96" s="165" t="s">
        <v>1236</v>
      </c>
      <c r="C96" s="167"/>
      <c r="D96" s="330"/>
      <c r="E96" s="85" t="s">
        <v>1234</v>
      </c>
      <c r="F96" s="189" t="s">
        <v>1235</v>
      </c>
      <c r="G96" s="189" t="s">
        <v>1235</v>
      </c>
      <c r="H96" s="189"/>
      <c r="I96" s="179"/>
      <c r="J96" s="189"/>
      <c r="K96" s="189"/>
      <c r="L96" s="189"/>
      <c r="M96" s="189" t="s">
        <v>1235</v>
      </c>
      <c r="N96" s="189"/>
    </row>
    <row r="97" spans="1:14" ht="16.2" customHeight="1">
      <c r="A97" s="328"/>
      <c r="B97" s="165" t="s">
        <v>1237</v>
      </c>
      <c r="C97" s="167"/>
      <c r="D97" s="330"/>
      <c r="E97" s="85" t="s">
        <v>1162</v>
      </c>
      <c r="F97" s="189" t="s">
        <v>1132</v>
      </c>
      <c r="G97" s="189" t="s">
        <v>1132</v>
      </c>
      <c r="H97" s="189"/>
      <c r="I97" s="179"/>
      <c r="J97" s="189"/>
      <c r="K97" s="189"/>
      <c r="L97" s="189"/>
      <c r="M97" s="189" t="s">
        <v>1132</v>
      </c>
      <c r="N97" s="189"/>
    </row>
    <row r="98" spans="1:14" ht="16.2" customHeight="1">
      <c r="A98" s="328"/>
      <c r="B98" s="165" t="s">
        <v>1238</v>
      </c>
      <c r="C98" s="167"/>
      <c r="D98" s="330"/>
      <c r="E98" s="85" t="s">
        <v>1162</v>
      </c>
      <c r="F98" s="189" t="s">
        <v>1132</v>
      </c>
      <c r="G98" s="189" t="s">
        <v>1132</v>
      </c>
      <c r="H98" s="189"/>
      <c r="I98" s="179"/>
      <c r="J98" s="189"/>
      <c r="K98" s="189"/>
      <c r="L98" s="189"/>
      <c r="M98" s="189" t="s">
        <v>1132</v>
      </c>
      <c r="N98" s="189"/>
    </row>
    <row r="99" spans="1:14" ht="16.2" customHeight="1">
      <c r="A99" s="328"/>
      <c r="B99" s="165" t="s">
        <v>1239</v>
      </c>
      <c r="C99" s="167"/>
      <c r="D99" s="330"/>
      <c r="E99" s="85" t="s">
        <v>1162</v>
      </c>
      <c r="F99" s="189" t="s">
        <v>1132</v>
      </c>
      <c r="G99" s="189" t="s">
        <v>1132</v>
      </c>
      <c r="H99" s="189"/>
      <c r="I99" s="179"/>
      <c r="J99" s="189"/>
      <c r="K99" s="189"/>
      <c r="L99" s="189"/>
      <c r="M99" s="189" t="s">
        <v>1132</v>
      </c>
      <c r="N99" s="189"/>
    </row>
    <row r="100" spans="1:14" ht="16.2" customHeight="1">
      <c r="A100" s="328"/>
      <c r="B100" s="165" t="s">
        <v>1240</v>
      </c>
      <c r="C100" s="167"/>
      <c r="D100" s="331"/>
      <c r="E100" s="85" t="s">
        <v>1162</v>
      </c>
      <c r="F100" s="189" t="s">
        <v>1132</v>
      </c>
      <c r="G100" s="189" t="s">
        <v>1132</v>
      </c>
      <c r="H100" s="189"/>
      <c r="I100" s="179"/>
      <c r="J100" s="189"/>
      <c r="K100" s="189"/>
      <c r="L100" s="189"/>
      <c r="M100" s="189" t="s">
        <v>1132</v>
      </c>
      <c r="N100" s="189"/>
    </row>
    <row r="101" spans="1:14">
      <c r="A101" s="328"/>
      <c r="B101" s="191" t="s">
        <v>1241</v>
      </c>
      <c r="C101" s="192" t="s">
        <v>1109</v>
      </c>
      <c r="D101" s="166"/>
      <c r="E101" s="85" t="s">
        <v>1110</v>
      </c>
      <c r="F101" s="189"/>
      <c r="G101" s="189"/>
      <c r="H101" s="189"/>
      <c r="I101" s="189"/>
      <c r="J101" s="189"/>
      <c r="K101" s="189"/>
      <c r="L101" s="189"/>
      <c r="M101" s="189"/>
      <c r="N101" s="189"/>
    </row>
    <row r="102" spans="1:14">
      <c r="A102" s="325" t="s">
        <v>1242</v>
      </c>
      <c r="B102" s="165" t="s">
        <v>1243</v>
      </c>
      <c r="C102" s="167"/>
      <c r="D102" s="180" t="s">
        <v>1244</v>
      </c>
      <c r="E102" s="85" t="s">
        <v>1162</v>
      </c>
      <c r="F102" s="189" t="s">
        <v>1132</v>
      </c>
      <c r="G102" s="189" t="s">
        <v>1132</v>
      </c>
      <c r="H102" s="189"/>
      <c r="I102" s="179"/>
      <c r="J102" s="189"/>
      <c r="K102" s="189"/>
      <c r="L102" s="189"/>
      <c r="M102" s="189" t="s">
        <v>1132</v>
      </c>
      <c r="N102" s="189"/>
    </row>
    <row r="103" spans="1:14">
      <c r="A103" s="326"/>
      <c r="B103" s="191" t="s">
        <v>1245</v>
      </c>
      <c r="C103" s="192" t="s">
        <v>1120</v>
      </c>
      <c r="D103" s="166"/>
      <c r="E103" s="85" t="s">
        <v>1121</v>
      </c>
      <c r="F103" s="189"/>
      <c r="G103" s="189"/>
      <c r="H103" s="189"/>
      <c r="I103" s="189"/>
      <c r="J103" s="189"/>
      <c r="K103" s="189"/>
      <c r="L103" s="189"/>
      <c r="M103" s="189"/>
      <c r="N103" s="189"/>
    </row>
    <row r="104" spans="1:14">
      <c r="A104" s="326"/>
      <c r="B104" s="165" t="s">
        <v>1246</v>
      </c>
      <c r="C104" s="167"/>
      <c r="D104" s="180" t="s">
        <v>1247</v>
      </c>
      <c r="E104" s="86" t="s">
        <v>1248</v>
      </c>
      <c r="F104" s="189" t="s">
        <v>1142</v>
      </c>
      <c r="G104" s="189" t="s">
        <v>1142</v>
      </c>
      <c r="H104" s="199" t="s">
        <v>1142</v>
      </c>
      <c r="I104" s="179"/>
      <c r="J104" s="189"/>
      <c r="K104" s="189"/>
      <c r="L104" s="189"/>
      <c r="M104" s="189" t="s">
        <v>1142</v>
      </c>
      <c r="N104" s="189"/>
    </row>
    <row r="105" spans="1:14">
      <c r="A105" s="326"/>
      <c r="B105" s="165" t="s">
        <v>1258</v>
      </c>
      <c r="C105" s="167"/>
      <c r="D105" s="180" t="s">
        <v>1244</v>
      </c>
      <c r="E105" s="85" t="s">
        <v>1162</v>
      </c>
      <c r="F105" s="189" t="s">
        <v>1132</v>
      </c>
      <c r="G105" s="189" t="s">
        <v>1132</v>
      </c>
      <c r="H105" s="189"/>
      <c r="I105" s="179"/>
      <c r="J105" s="189"/>
      <c r="K105" s="189"/>
      <c r="L105" s="189"/>
      <c r="M105" s="189" t="s">
        <v>1132</v>
      </c>
      <c r="N105" s="189"/>
    </row>
    <row r="106" spans="1:14">
      <c r="A106" s="326"/>
      <c r="B106" s="165" t="s">
        <v>1260</v>
      </c>
      <c r="C106" s="167"/>
      <c r="D106" s="166" t="s">
        <v>1139</v>
      </c>
      <c r="E106" s="85" t="s">
        <v>1249</v>
      </c>
      <c r="F106" s="189" t="s">
        <v>1132</v>
      </c>
      <c r="G106" s="189" t="s">
        <v>1132</v>
      </c>
      <c r="H106" s="189" t="s">
        <v>1132</v>
      </c>
      <c r="I106" s="189"/>
      <c r="J106" s="189"/>
      <c r="K106" s="189" t="s">
        <v>1132</v>
      </c>
      <c r="L106" s="189" t="s">
        <v>1132</v>
      </c>
      <c r="M106" s="189" t="s">
        <v>1132</v>
      </c>
      <c r="N106" s="189"/>
    </row>
    <row r="107" spans="1:14">
      <c r="A107" s="326"/>
      <c r="B107" s="165" t="s">
        <v>1250</v>
      </c>
      <c r="C107" s="167" t="s">
        <v>1136</v>
      </c>
      <c r="D107" s="166"/>
      <c r="E107" s="85" t="s">
        <v>1198</v>
      </c>
      <c r="F107" s="189" t="s">
        <v>1132</v>
      </c>
      <c r="G107" s="189" t="s">
        <v>1132</v>
      </c>
      <c r="H107" s="189" t="s">
        <v>1132</v>
      </c>
      <c r="I107" s="189"/>
      <c r="J107" s="189"/>
      <c r="K107" s="189"/>
      <c r="L107" s="189"/>
      <c r="M107" s="189"/>
      <c r="N107" s="189"/>
    </row>
    <row r="108" spans="1:14">
      <c r="A108" s="326"/>
      <c r="B108" s="165" t="s">
        <v>1261</v>
      </c>
      <c r="C108" s="167"/>
      <c r="D108" s="180" t="s">
        <v>1244</v>
      </c>
      <c r="E108" s="85" t="s">
        <v>1251</v>
      </c>
      <c r="F108" s="189" t="s">
        <v>1132</v>
      </c>
      <c r="G108" s="189" t="s">
        <v>1132</v>
      </c>
      <c r="H108" s="189"/>
      <c r="I108" s="179"/>
      <c r="J108" s="189"/>
      <c r="K108" s="189"/>
      <c r="L108" s="189"/>
      <c r="M108" s="189"/>
      <c r="N108" s="189"/>
    </row>
    <row r="109" spans="1:14">
      <c r="B109" s="200"/>
      <c r="C109" s="200"/>
    </row>
  </sheetData>
  <autoFilter ref="A3:N111" xr:uid="{00000000-0009-0000-0000-000002000000}"/>
  <mergeCells count="20"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2"/>
  <dimension ref="A1:V50"/>
  <sheetViews>
    <sheetView zoomScale="80" zoomScaleNormal="80" workbookViewId="0">
      <selection activeCell="M8" sqref="M8"/>
    </sheetView>
  </sheetViews>
  <sheetFormatPr defaultColWidth="8.8671875" defaultRowHeight="16.25"/>
  <cols>
    <col min="1" max="1" width="8.8671875" style="217"/>
    <col min="2" max="3" width="8.8671875" style="217" bestFit="1" customWidth="1"/>
    <col min="4" max="4" width="22.21484375" style="217" bestFit="1" customWidth="1"/>
    <col min="5" max="5" width="11.8671875" style="217" bestFit="1" customWidth="1"/>
    <col min="6" max="6" width="8.8671875" style="217"/>
    <col min="7" max="7" width="5.43359375" style="217" bestFit="1" customWidth="1"/>
    <col min="8" max="8" width="15.8671875" style="217" bestFit="1" customWidth="1"/>
    <col min="9" max="10" width="5.43359375" style="217" bestFit="1" customWidth="1"/>
    <col min="11" max="11" width="10.43359375" style="217" customWidth="1"/>
    <col min="12" max="12" width="12.34765625" style="217" customWidth="1"/>
    <col min="13" max="13" width="17.34765625" style="217" bestFit="1" customWidth="1"/>
    <col min="14" max="14" width="13.34765625" style="217" customWidth="1"/>
    <col min="15" max="21" width="8.8671875" style="217"/>
    <col min="22" max="22" width="11.8671875" style="217" bestFit="1" customWidth="1"/>
    <col min="23" max="16384" width="8.8671875" style="217"/>
  </cols>
  <sheetData>
    <row r="1" spans="1:22">
      <c r="A1" s="215"/>
      <c r="B1" s="215"/>
      <c r="C1" s="216"/>
      <c r="D1" s="215"/>
      <c r="E1" s="215"/>
      <c r="F1" s="215"/>
      <c r="G1" s="215"/>
      <c r="H1" s="215" t="s">
        <v>1263</v>
      </c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</row>
    <row r="2" spans="1:22" ht="39.65" customHeight="1">
      <c r="A2" s="338" t="s">
        <v>1264</v>
      </c>
      <c r="B2" s="338"/>
      <c r="C2" s="339"/>
      <c r="D2" s="340" t="s">
        <v>1265</v>
      </c>
      <c r="E2" s="341"/>
      <c r="F2" s="341"/>
      <c r="G2" s="342"/>
      <c r="H2" s="340" t="s">
        <v>1266</v>
      </c>
      <c r="I2" s="341"/>
      <c r="J2" s="342"/>
      <c r="K2" s="218" t="s">
        <v>1267</v>
      </c>
      <c r="L2" s="219" t="s">
        <v>1268</v>
      </c>
      <c r="M2" s="219" t="s">
        <v>1322</v>
      </c>
      <c r="N2" s="219" t="s">
        <v>1324</v>
      </c>
      <c r="O2" s="219" t="s">
        <v>1269</v>
      </c>
      <c r="P2" s="219" t="s">
        <v>1270</v>
      </c>
      <c r="Q2" s="219" t="s">
        <v>1271</v>
      </c>
      <c r="R2" s="219" t="s">
        <v>1272</v>
      </c>
      <c r="S2" s="219" t="s">
        <v>1273</v>
      </c>
      <c r="T2" s="219" t="s">
        <v>1274</v>
      </c>
      <c r="U2" s="219" t="s">
        <v>1275</v>
      </c>
      <c r="V2" s="220" t="s">
        <v>1276</v>
      </c>
    </row>
    <row r="3" spans="1:22">
      <c r="A3" s="221" t="s">
        <v>1277</v>
      </c>
      <c r="B3" s="221" t="s">
        <v>1278</v>
      </c>
      <c r="C3" s="221" t="s">
        <v>1279</v>
      </c>
      <c r="D3" s="221" t="s">
        <v>1277</v>
      </c>
      <c r="E3" s="221" t="s">
        <v>1280</v>
      </c>
      <c r="F3" s="221" t="s">
        <v>1281</v>
      </c>
      <c r="G3" s="221" t="s">
        <v>1278</v>
      </c>
      <c r="H3" s="221" t="s">
        <v>1277</v>
      </c>
      <c r="I3" s="221" t="s">
        <v>1278</v>
      </c>
      <c r="J3" s="221" t="s">
        <v>1279</v>
      </c>
      <c r="K3" s="221"/>
      <c r="M3" s="217" t="s">
        <v>1321</v>
      </c>
      <c r="N3" s="217" t="s">
        <v>1323</v>
      </c>
    </row>
    <row r="4" spans="1:22">
      <c r="A4" s="221">
        <v>1.6</v>
      </c>
      <c r="B4" s="221">
        <v>2.5</v>
      </c>
      <c r="C4" s="221">
        <v>1.25</v>
      </c>
      <c r="D4" s="221">
        <v>1.6</v>
      </c>
      <c r="E4" s="221">
        <v>4</v>
      </c>
      <c r="F4" s="221">
        <v>0.5</v>
      </c>
      <c r="G4" s="221">
        <v>1.6</v>
      </c>
      <c r="H4" s="221">
        <v>1.6</v>
      </c>
      <c r="I4" s="221">
        <v>2.5</v>
      </c>
      <c r="J4" s="221">
        <v>1.25</v>
      </c>
      <c r="M4" s="217" t="s">
        <v>1319</v>
      </c>
    </row>
    <row r="5" spans="1:22">
      <c r="A5" s="221">
        <v>2</v>
      </c>
      <c r="B5" s="221">
        <v>3.6</v>
      </c>
      <c r="C5" s="221">
        <v>1.6</v>
      </c>
      <c r="D5" s="221">
        <v>2</v>
      </c>
      <c r="E5" s="221">
        <v>4</v>
      </c>
      <c r="F5" s="221">
        <v>0.6</v>
      </c>
      <c r="G5" s="221">
        <v>2</v>
      </c>
      <c r="H5" s="221">
        <v>2</v>
      </c>
      <c r="I5" s="221">
        <v>3.6</v>
      </c>
      <c r="J5" s="221">
        <v>1.6</v>
      </c>
      <c r="M5" s="217" t="s">
        <v>1320</v>
      </c>
    </row>
    <row r="6" spans="1:22">
      <c r="A6" s="221">
        <v>2.5</v>
      </c>
      <c r="B6" s="221">
        <v>4.2</v>
      </c>
      <c r="C6" s="221">
        <v>2.0499999999999998</v>
      </c>
      <c r="D6" s="221">
        <v>2.5</v>
      </c>
      <c r="E6" s="221">
        <v>6</v>
      </c>
      <c r="F6" s="221">
        <v>0.8</v>
      </c>
      <c r="G6" s="221">
        <v>2.5</v>
      </c>
      <c r="H6" s="221">
        <v>2.5</v>
      </c>
      <c r="I6" s="221">
        <v>4.2</v>
      </c>
      <c r="J6" s="221">
        <v>2.0499999999999998</v>
      </c>
      <c r="M6" s="217" t="s">
        <v>604</v>
      </c>
    </row>
    <row r="7" spans="1:22">
      <c r="A7" s="221">
        <v>2.6</v>
      </c>
      <c r="B7" s="221">
        <v>4.2</v>
      </c>
      <c r="C7" s="221">
        <v>2.0499999999999998</v>
      </c>
      <c r="D7" s="221">
        <v>2.6</v>
      </c>
      <c r="E7" s="221">
        <v>6</v>
      </c>
      <c r="F7" s="221">
        <v>0.8</v>
      </c>
      <c r="G7" s="221">
        <v>2.6</v>
      </c>
      <c r="H7" s="221">
        <v>2.6</v>
      </c>
      <c r="I7" s="221">
        <v>4.2</v>
      </c>
      <c r="J7" s="221">
        <v>2.0499999999999998</v>
      </c>
    </row>
    <row r="8" spans="1:22">
      <c r="A8" s="221">
        <v>3</v>
      </c>
      <c r="B8" s="221">
        <v>4.5999999999999996</v>
      </c>
      <c r="C8" s="221">
        <v>2.5</v>
      </c>
      <c r="D8" s="221">
        <v>3</v>
      </c>
      <c r="E8" s="221"/>
      <c r="F8" s="221"/>
      <c r="G8" s="221">
        <v>3</v>
      </c>
      <c r="H8" s="221">
        <v>3</v>
      </c>
      <c r="I8" s="221">
        <v>4.5999999999999996</v>
      </c>
      <c r="J8" s="221">
        <v>2.5</v>
      </c>
    </row>
    <row r="11" spans="1:22">
      <c r="D11" s="221" t="s">
        <v>1282</v>
      </c>
      <c r="E11" s="221" t="s">
        <v>1280</v>
      </c>
      <c r="H11" s="217" t="s">
        <v>1283</v>
      </c>
    </row>
    <row r="12" spans="1:22">
      <c r="D12" s="221" t="s">
        <v>1284</v>
      </c>
      <c r="E12" s="221" t="s">
        <v>1278</v>
      </c>
      <c r="H12" s="217" t="s">
        <v>1285</v>
      </c>
    </row>
    <row r="13" spans="1:22">
      <c r="D13" s="221" t="s">
        <v>1286</v>
      </c>
      <c r="E13" s="221" t="s">
        <v>1287</v>
      </c>
      <c r="H13" s="217" t="s">
        <v>1288</v>
      </c>
    </row>
    <row r="14" spans="1:22">
      <c r="D14" s="221" t="s">
        <v>1282</v>
      </c>
      <c r="E14" s="221" t="s">
        <v>1281</v>
      </c>
    </row>
    <row r="15" spans="1:22">
      <c r="D15" s="221" t="s">
        <v>1284</v>
      </c>
      <c r="E15" s="221" t="s">
        <v>1289</v>
      </c>
    </row>
    <row r="16" spans="1:22">
      <c r="D16" s="221" t="s">
        <v>1286</v>
      </c>
      <c r="E16" s="221" t="s">
        <v>1290</v>
      </c>
    </row>
    <row r="17" spans="4:8">
      <c r="D17" s="221" t="s">
        <v>1282</v>
      </c>
      <c r="E17" s="221" t="s">
        <v>1291</v>
      </c>
    </row>
    <row r="18" spans="4:8">
      <c r="D18" s="221" t="s">
        <v>1284</v>
      </c>
      <c r="E18" s="221" t="s">
        <v>1292</v>
      </c>
    </row>
    <row r="19" spans="4:8">
      <c r="D19" s="221" t="s">
        <v>1286</v>
      </c>
      <c r="E19" s="221" t="s">
        <v>1278</v>
      </c>
    </row>
    <row r="20" spans="4:8">
      <c r="D20" s="221" t="s">
        <v>1293</v>
      </c>
      <c r="E20" s="221" t="s">
        <v>1294</v>
      </c>
      <c r="H20" s="217" t="s">
        <v>1295</v>
      </c>
    </row>
    <row r="21" spans="4:8">
      <c r="D21" s="221" t="s">
        <v>1296</v>
      </c>
      <c r="E21" s="221" t="s">
        <v>1297</v>
      </c>
    </row>
    <row r="22" spans="4:8">
      <c r="D22" s="221" t="s">
        <v>1296</v>
      </c>
      <c r="E22" s="221" t="s">
        <v>1298</v>
      </c>
      <c r="G22" s="217" t="s">
        <v>1295</v>
      </c>
    </row>
    <row r="23" spans="4:8">
      <c r="D23" s="221" t="s">
        <v>1293</v>
      </c>
      <c r="E23" s="221" t="s">
        <v>1299</v>
      </c>
    </row>
    <row r="24" spans="4:8">
      <c r="D24" s="221" t="s">
        <v>1296</v>
      </c>
      <c r="E24" s="221" t="s">
        <v>1300</v>
      </c>
    </row>
    <row r="25" spans="4:8">
      <c r="D25" s="221" t="s">
        <v>1293</v>
      </c>
      <c r="E25" s="221" t="s">
        <v>1301</v>
      </c>
    </row>
    <row r="26" spans="4:8">
      <c r="D26" s="221" t="s">
        <v>1286</v>
      </c>
      <c r="E26" s="221" t="s">
        <v>1279</v>
      </c>
    </row>
    <row r="27" spans="4:8">
      <c r="D27" s="221" t="s">
        <v>1284</v>
      </c>
      <c r="E27" s="221" t="s">
        <v>1279</v>
      </c>
    </row>
    <row r="28" spans="4:8">
      <c r="D28" s="221"/>
      <c r="E28" s="221"/>
    </row>
    <row r="29" spans="4:8">
      <c r="D29" s="221" t="s">
        <v>1282</v>
      </c>
      <c r="E29" s="221" t="s">
        <v>1302</v>
      </c>
    </row>
    <row r="30" spans="4:8">
      <c r="D30" s="221" t="s">
        <v>1302</v>
      </c>
      <c r="E30" s="221" t="s">
        <v>1303</v>
      </c>
    </row>
    <row r="31" spans="4:8">
      <c r="D31" s="221" t="s">
        <v>1302</v>
      </c>
      <c r="E31" s="221" t="s">
        <v>1304</v>
      </c>
    </row>
    <row r="32" spans="4:8">
      <c r="D32" s="221"/>
      <c r="E32" s="221"/>
    </row>
    <row r="33" spans="4:5">
      <c r="D33" s="221" t="s">
        <v>1303</v>
      </c>
      <c r="E33" s="221" t="s">
        <v>1305</v>
      </c>
    </row>
    <row r="34" spans="4:5">
      <c r="D34" s="221" t="s">
        <v>1303</v>
      </c>
      <c r="E34" s="221" t="s">
        <v>1306</v>
      </c>
    </row>
    <row r="35" spans="4:5">
      <c r="D35" s="221"/>
      <c r="E35" s="221"/>
    </row>
    <row r="36" spans="4:5">
      <c r="D36" s="221" t="s">
        <v>1282</v>
      </c>
      <c r="E36" s="221" t="s">
        <v>1282</v>
      </c>
    </row>
    <row r="37" spans="4:5">
      <c r="D37" s="221"/>
      <c r="E37" s="221"/>
    </row>
    <row r="38" spans="4:5">
      <c r="D38" s="221"/>
      <c r="E38" s="221"/>
    </row>
    <row r="39" spans="4:5">
      <c r="D39" s="221"/>
      <c r="E39" s="221"/>
    </row>
    <row r="40" spans="4:5" ht="19">
      <c r="D40" s="222" t="s">
        <v>1307</v>
      </c>
      <c r="E40" s="223" t="s">
        <v>1308</v>
      </c>
    </row>
    <row r="41" spans="4:5">
      <c r="D41" s="224" t="s">
        <v>1309</v>
      </c>
      <c r="E41" s="221">
        <v>12</v>
      </c>
    </row>
    <row r="42" spans="4:5">
      <c r="D42" s="224" t="s">
        <v>1310</v>
      </c>
      <c r="E42" s="221">
        <v>4</v>
      </c>
    </row>
    <row r="43" spans="4:5">
      <c r="D43" s="224" t="s">
        <v>1311</v>
      </c>
      <c r="E43" s="221">
        <v>15</v>
      </c>
    </row>
    <row r="44" spans="4:5">
      <c r="D44" s="224" t="s">
        <v>1312</v>
      </c>
      <c r="E44" s="221">
        <v>20</v>
      </c>
    </row>
    <row r="45" spans="4:5">
      <c r="D45" s="224" t="s">
        <v>1313</v>
      </c>
      <c r="E45" s="221">
        <v>30</v>
      </c>
    </row>
    <row r="46" spans="4:5" ht="21">
      <c r="D46" s="224" t="s">
        <v>1314</v>
      </c>
      <c r="E46" s="221">
        <v>38</v>
      </c>
    </row>
    <row r="47" spans="4:5">
      <c r="D47" s="224" t="s">
        <v>1315</v>
      </c>
      <c r="E47" s="221">
        <v>38</v>
      </c>
    </row>
    <row r="48" spans="4:5">
      <c r="D48" s="224" t="s">
        <v>1316</v>
      </c>
      <c r="E48" s="221">
        <v>0.1</v>
      </c>
    </row>
    <row r="49" spans="4:5">
      <c r="D49" s="224" t="s">
        <v>1317</v>
      </c>
      <c r="E49" s="221">
        <v>0.01</v>
      </c>
    </row>
    <row r="50" spans="4:5">
      <c r="D50" s="224" t="s">
        <v>1318</v>
      </c>
      <c r="E50" s="221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8"/>
  <dimension ref="A1:AC225"/>
  <sheetViews>
    <sheetView zoomScale="80" zoomScaleNormal="80" workbookViewId="0">
      <pane ySplit="1" topLeftCell="A2" activePane="bottomLeft" state="frozen"/>
      <selection pane="bottomLeft" activeCell="B226" sqref="B226"/>
    </sheetView>
  </sheetViews>
  <sheetFormatPr defaultColWidth="8.8671875" defaultRowHeight="15.25"/>
  <cols>
    <col min="1" max="1" width="44.34765625" style="237" bestFit="1" customWidth="1"/>
    <col min="2" max="2" width="47.0859375" style="237" bestFit="1" customWidth="1"/>
    <col min="3" max="3" width="33" style="237" customWidth="1"/>
    <col min="4" max="4" width="11.6484375" style="237" hidden="1" customWidth="1"/>
    <col min="5" max="5" width="9.6484375" style="237" hidden="1" customWidth="1"/>
    <col min="6" max="6" width="21.8671875" style="237" hidden="1" customWidth="1"/>
    <col min="7" max="9" width="8.21484375" style="237" hidden="1" customWidth="1"/>
    <col min="10" max="10" width="26.43359375" style="237" hidden="1" customWidth="1"/>
    <col min="11" max="11" width="35.43359375" style="237" customWidth="1"/>
    <col min="12" max="12" width="46.78125" style="237" customWidth="1"/>
    <col min="13" max="13" width="42.34765625" style="237" customWidth="1"/>
    <col min="14" max="14" width="44.43359375" style="237" customWidth="1"/>
    <col min="15" max="15" width="44.0859375" style="237" customWidth="1"/>
    <col min="16" max="26" width="8.8671875" style="237"/>
    <col min="27" max="27" width="13.21484375" style="237" customWidth="1"/>
    <col min="28" max="16384" width="8.8671875" style="237"/>
  </cols>
  <sheetData>
    <row r="1" spans="1:29" ht="26">
      <c r="A1" s="129" t="s">
        <v>1064</v>
      </c>
      <c r="B1" s="129" t="s">
        <v>609</v>
      </c>
      <c r="C1" s="129" t="s">
        <v>610</v>
      </c>
      <c r="D1" s="129" t="s">
        <v>49</v>
      </c>
      <c r="E1" s="129" t="s">
        <v>20</v>
      </c>
      <c r="F1" s="129" t="s">
        <v>438</v>
      </c>
      <c r="G1" s="129" t="s">
        <v>50</v>
      </c>
      <c r="H1" s="129"/>
      <c r="I1" s="129"/>
      <c r="J1" s="129" t="s">
        <v>52</v>
      </c>
      <c r="K1" s="129" t="s">
        <v>611</v>
      </c>
      <c r="L1" s="129" t="s">
        <v>612</v>
      </c>
      <c r="M1" s="129" t="s">
        <v>53</v>
      </c>
      <c r="N1" s="129" t="s">
        <v>1325</v>
      </c>
      <c r="O1" s="129" t="s">
        <v>51</v>
      </c>
      <c r="P1" s="129" t="s">
        <v>54</v>
      </c>
      <c r="Q1" s="129" t="s">
        <v>55</v>
      </c>
      <c r="R1" s="129" t="s">
        <v>56</v>
      </c>
      <c r="S1" s="129" t="s">
        <v>57</v>
      </c>
      <c r="T1" s="129" t="s">
        <v>58</v>
      </c>
      <c r="U1" s="129" t="s">
        <v>59</v>
      </c>
      <c r="V1" s="129" t="s">
        <v>60</v>
      </c>
      <c r="W1" s="129" t="s">
        <v>61</v>
      </c>
      <c r="X1" s="129" t="s">
        <v>62</v>
      </c>
      <c r="Y1" s="129" t="s">
        <v>63</v>
      </c>
      <c r="Z1" s="129" t="s">
        <v>64</v>
      </c>
      <c r="AA1" s="129" t="s">
        <v>22</v>
      </c>
      <c r="AB1" s="129" t="s">
        <v>65</v>
      </c>
      <c r="AC1" s="129" t="s">
        <v>66</v>
      </c>
    </row>
    <row r="2" spans="1:29" ht="16.25">
      <c r="A2" s="238" t="s">
        <v>419</v>
      </c>
      <c r="B2" s="238" t="s">
        <v>419</v>
      </c>
      <c r="C2" s="238" t="s">
        <v>420</v>
      </c>
      <c r="D2" s="239" t="str">
        <f>'Material Spec.'!A4</f>
        <v>SUS301</v>
      </c>
      <c r="E2" s="240" t="s">
        <v>803</v>
      </c>
      <c r="F2" s="237" t="s">
        <v>238</v>
      </c>
      <c r="J2" s="241" t="s">
        <v>1362</v>
      </c>
      <c r="K2" s="278" t="s">
        <v>613</v>
      </c>
      <c r="L2" s="278" t="s">
        <v>1346</v>
      </c>
      <c r="M2" s="242" t="s">
        <v>271</v>
      </c>
      <c r="N2" s="243" t="s">
        <v>239</v>
      </c>
      <c r="O2" s="238" t="s">
        <v>426</v>
      </c>
    </row>
    <row r="3" spans="1:29" ht="16.25">
      <c r="A3" s="238" t="s">
        <v>421</v>
      </c>
      <c r="B3" s="238"/>
      <c r="C3" s="238"/>
      <c r="D3" s="240" t="s">
        <v>800</v>
      </c>
      <c r="E3" s="240" t="s">
        <v>804</v>
      </c>
      <c r="F3" s="237" t="s">
        <v>234</v>
      </c>
      <c r="J3" s="241" t="s">
        <v>1363</v>
      </c>
      <c r="K3" s="278" t="s">
        <v>613</v>
      </c>
      <c r="L3" s="278" t="s">
        <v>1347</v>
      </c>
      <c r="M3" s="244" t="s">
        <v>273</v>
      </c>
      <c r="N3" s="245" t="s">
        <v>252</v>
      </c>
      <c r="O3" s="238" t="s">
        <v>428</v>
      </c>
    </row>
    <row r="4" spans="1:29" ht="16.25">
      <c r="A4" s="238" t="s">
        <v>1364</v>
      </c>
      <c r="B4" s="238" t="s">
        <v>421</v>
      </c>
      <c r="C4" s="238" t="s">
        <v>422</v>
      </c>
      <c r="D4" s="240" t="s">
        <v>801</v>
      </c>
      <c r="E4" s="240" t="s">
        <v>805</v>
      </c>
      <c r="F4" s="237" t="s">
        <v>235</v>
      </c>
      <c r="J4" s="241" t="s">
        <v>1365</v>
      </c>
      <c r="K4" s="278" t="s">
        <v>613</v>
      </c>
      <c r="L4" s="278" t="s">
        <v>1366</v>
      </c>
      <c r="M4" s="244" t="s">
        <v>275</v>
      </c>
      <c r="N4" s="245" t="s">
        <v>254</v>
      </c>
      <c r="O4" s="246" t="s">
        <v>257</v>
      </c>
    </row>
    <row r="5" spans="1:29" ht="16.25">
      <c r="A5" s="238" t="s">
        <v>424</v>
      </c>
      <c r="B5" s="238"/>
      <c r="C5" s="238"/>
      <c r="D5" s="240" t="s">
        <v>802</v>
      </c>
      <c r="E5" s="240" t="s">
        <v>806</v>
      </c>
      <c r="F5" s="237" t="s">
        <v>236</v>
      </c>
      <c r="J5" s="241" t="s">
        <v>1367</v>
      </c>
      <c r="K5" s="278" t="s">
        <v>613</v>
      </c>
      <c r="L5" s="278" t="s">
        <v>1368</v>
      </c>
      <c r="M5" s="247" t="s">
        <v>295</v>
      </c>
      <c r="N5" s="248" t="s">
        <v>1369</v>
      </c>
      <c r="O5" s="249" t="s">
        <v>259</v>
      </c>
    </row>
    <row r="6" spans="1:29" ht="16.25">
      <c r="A6" s="238" t="s">
        <v>426</v>
      </c>
      <c r="B6" s="238" t="s">
        <v>1364</v>
      </c>
      <c r="C6" s="238" t="s">
        <v>423</v>
      </c>
      <c r="D6" s="240" t="s">
        <v>1370</v>
      </c>
      <c r="F6" s="237" t="s">
        <v>431</v>
      </c>
      <c r="J6" s="241" t="s">
        <v>1371</v>
      </c>
      <c r="K6" s="250" t="s">
        <v>239</v>
      </c>
      <c r="L6" s="250" t="s">
        <v>1348</v>
      </c>
      <c r="M6" s="242" t="s">
        <v>297</v>
      </c>
      <c r="N6" s="242" t="s">
        <v>271</v>
      </c>
      <c r="O6" s="249" t="s">
        <v>261</v>
      </c>
    </row>
    <row r="7" spans="1:29" ht="16.25">
      <c r="A7" s="238" t="s">
        <v>428</v>
      </c>
      <c r="B7" s="238"/>
      <c r="C7" s="238"/>
      <c r="F7" s="237" t="s">
        <v>432</v>
      </c>
      <c r="J7" s="241" t="s">
        <v>1372</v>
      </c>
      <c r="K7" s="250" t="s">
        <v>1349</v>
      </c>
      <c r="L7" s="250" t="s">
        <v>1350</v>
      </c>
      <c r="M7" s="242" t="s">
        <v>299</v>
      </c>
      <c r="N7" s="244" t="s">
        <v>273</v>
      </c>
      <c r="O7" s="249" t="s">
        <v>263</v>
      </c>
    </row>
    <row r="8" spans="1:29" ht="16.25">
      <c r="A8" s="243" t="s">
        <v>239</v>
      </c>
      <c r="B8" s="238" t="s">
        <v>424</v>
      </c>
      <c r="C8" s="238" t="s">
        <v>425</v>
      </c>
      <c r="D8" s="239" t="str">
        <f>'Material Spec.'!A8</f>
        <v>SECC</v>
      </c>
      <c r="F8" s="237" t="s">
        <v>430</v>
      </c>
      <c r="J8" s="241" t="s">
        <v>1373</v>
      </c>
      <c r="K8" s="250" t="s">
        <v>1349</v>
      </c>
      <c r="L8" s="250" t="s">
        <v>1351</v>
      </c>
      <c r="M8" s="251" t="s">
        <v>302</v>
      </c>
      <c r="N8" s="244" t="s">
        <v>275</v>
      </c>
      <c r="O8" s="249" t="s">
        <v>265</v>
      </c>
    </row>
    <row r="9" spans="1:29" ht="16.25">
      <c r="A9" s="245" t="s">
        <v>252</v>
      </c>
      <c r="B9" s="238"/>
      <c r="C9" s="238"/>
      <c r="D9" s="240" t="str">
        <f>'Material Spec.'!A9</f>
        <v>SGCC</v>
      </c>
      <c r="F9" s="237" t="s">
        <v>433</v>
      </c>
      <c r="J9" s="241" t="s">
        <v>1374</v>
      </c>
      <c r="K9" s="250" t="s">
        <v>239</v>
      </c>
      <c r="L9" s="250" t="s">
        <v>1352</v>
      </c>
      <c r="M9" s="245" t="s">
        <v>304</v>
      </c>
      <c r="N9" s="247" t="s">
        <v>295</v>
      </c>
      <c r="O9" s="252" t="s">
        <v>267</v>
      </c>
    </row>
    <row r="10" spans="1:29" ht="16.25">
      <c r="A10" s="245" t="s">
        <v>254</v>
      </c>
      <c r="B10" s="238" t="s">
        <v>426</v>
      </c>
      <c r="C10" s="238" t="s">
        <v>427</v>
      </c>
      <c r="D10" s="239" t="str">
        <f>'Material Spec.'!A10</f>
        <v>SPCC</v>
      </c>
      <c r="F10" s="237" t="s">
        <v>434</v>
      </c>
      <c r="J10" s="241" t="s">
        <v>1375</v>
      </c>
      <c r="K10" s="247" t="s">
        <v>295</v>
      </c>
      <c r="L10" s="247" t="s">
        <v>1360</v>
      </c>
      <c r="M10" s="253" t="s">
        <v>308</v>
      </c>
      <c r="N10" s="242" t="s">
        <v>297</v>
      </c>
      <c r="O10" s="254" t="s">
        <v>269</v>
      </c>
    </row>
    <row r="11" spans="1:29" ht="16.25">
      <c r="A11" s="276" t="s">
        <v>1402</v>
      </c>
      <c r="B11" s="238"/>
      <c r="C11" s="238"/>
      <c r="D11" s="240" t="str">
        <f>'Material Spec.'!A12</f>
        <v>SPTE</v>
      </c>
      <c r="F11" s="237" t="s">
        <v>435</v>
      </c>
      <c r="J11" s="237" t="s">
        <v>1376</v>
      </c>
      <c r="K11" s="247" t="s">
        <v>295</v>
      </c>
      <c r="L11" s="247" t="s">
        <v>1361</v>
      </c>
      <c r="M11" s="249" t="s">
        <v>310</v>
      </c>
      <c r="N11" s="242" t="s">
        <v>299</v>
      </c>
      <c r="O11" s="245" t="s">
        <v>277</v>
      </c>
    </row>
    <row r="12" spans="1:29" ht="16.25">
      <c r="A12" s="248" t="s">
        <v>1369</v>
      </c>
      <c r="B12" s="238" t="s">
        <v>428</v>
      </c>
      <c r="C12" s="238" t="s">
        <v>429</v>
      </c>
      <c r="D12" s="240" t="str">
        <f>'Material Spec.'!A23</f>
        <v>AL6063</v>
      </c>
      <c r="F12" s="237" t="s">
        <v>436</v>
      </c>
      <c r="J12" s="237" t="s">
        <v>1377</v>
      </c>
      <c r="K12" s="255" t="s">
        <v>1398</v>
      </c>
      <c r="L12" s="255" t="s">
        <v>1353</v>
      </c>
      <c r="M12" s="238" t="s">
        <v>312</v>
      </c>
      <c r="N12" s="244" t="s">
        <v>1378</v>
      </c>
      <c r="O12" s="243" t="s">
        <v>279</v>
      </c>
    </row>
    <row r="13" spans="1:29" ht="16">
      <c r="A13" s="246" t="s">
        <v>257</v>
      </c>
      <c r="B13" s="238"/>
      <c r="C13" s="238"/>
      <c r="D13" s="240" t="str">
        <f>'Material Spec.'!A14</f>
        <v>低碳鋼18A</v>
      </c>
      <c r="F13" s="237" t="s">
        <v>437</v>
      </c>
      <c r="J13" s="237" t="s">
        <v>130</v>
      </c>
      <c r="K13" s="255" t="s">
        <v>1398</v>
      </c>
      <c r="L13" s="255" t="s">
        <v>1379</v>
      </c>
      <c r="M13" s="244" t="s">
        <v>314</v>
      </c>
      <c r="N13" s="251" t="s">
        <v>302</v>
      </c>
      <c r="O13" s="251" t="s">
        <v>281</v>
      </c>
    </row>
    <row r="14" spans="1:29" ht="16.25">
      <c r="A14" s="249" t="s">
        <v>259</v>
      </c>
      <c r="B14" s="243" t="s">
        <v>239</v>
      </c>
      <c r="C14" s="243" t="s">
        <v>251</v>
      </c>
      <c r="J14" s="237" t="s">
        <v>1380</v>
      </c>
      <c r="K14" s="256" t="s">
        <v>1399</v>
      </c>
      <c r="L14" s="256" t="s">
        <v>1381</v>
      </c>
      <c r="M14" s="251" t="s">
        <v>316</v>
      </c>
      <c r="N14" s="245" t="s">
        <v>304</v>
      </c>
      <c r="O14" s="257" t="s">
        <v>283</v>
      </c>
    </row>
    <row r="15" spans="1:29" ht="16.25">
      <c r="A15" s="249" t="s">
        <v>261</v>
      </c>
      <c r="B15" s="243" t="s">
        <v>239</v>
      </c>
      <c r="C15" s="243" t="s">
        <v>253</v>
      </c>
      <c r="D15" s="240" t="str">
        <f>'Material Spec.'!A16</f>
        <v>SUS410</v>
      </c>
      <c r="J15" s="237" t="s">
        <v>1382</v>
      </c>
      <c r="K15" s="256" t="s">
        <v>1399</v>
      </c>
      <c r="L15" s="256" t="s">
        <v>1383</v>
      </c>
      <c r="M15" s="251" t="s">
        <v>318</v>
      </c>
      <c r="N15" s="248" t="s">
        <v>306</v>
      </c>
      <c r="O15" s="253" t="s">
        <v>285</v>
      </c>
    </row>
    <row r="16" spans="1:29">
      <c r="A16" s="249" t="s">
        <v>263</v>
      </c>
      <c r="B16" s="243" t="s">
        <v>239</v>
      </c>
      <c r="C16" s="243" t="s">
        <v>255</v>
      </c>
      <c r="D16" s="240" t="str">
        <f>'Material Spec.'!A17</f>
        <v>磷青銅</v>
      </c>
      <c r="K16" s="256" t="s">
        <v>1399</v>
      </c>
      <c r="L16" s="256" t="s">
        <v>1354</v>
      </c>
      <c r="M16" s="258" t="s">
        <v>320</v>
      </c>
      <c r="N16" s="253" t="s">
        <v>308</v>
      </c>
      <c r="O16" s="244" t="s">
        <v>287</v>
      </c>
    </row>
    <row r="17" spans="1:15">
      <c r="A17" s="249" t="s">
        <v>265</v>
      </c>
      <c r="B17" s="243" t="s">
        <v>239</v>
      </c>
      <c r="C17" s="243" t="s">
        <v>256</v>
      </c>
      <c r="D17" s="240" t="str">
        <f>'Material Spec.'!A18</f>
        <v>PH-CU</v>
      </c>
      <c r="K17" s="242" t="s">
        <v>297</v>
      </c>
      <c r="L17" s="242" t="s">
        <v>1395</v>
      </c>
      <c r="M17" s="248" t="s">
        <v>322</v>
      </c>
      <c r="N17" s="249" t="s">
        <v>310</v>
      </c>
      <c r="O17" s="245" t="s">
        <v>289</v>
      </c>
    </row>
    <row r="18" spans="1:15">
      <c r="A18" s="252" t="s">
        <v>267</v>
      </c>
      <c r="B18" s="243" t="s">
        <v>239</v>
      </c>
      <c r="C18" s="243" t="s">
        <v>258</v>
      </c>
      <c r="D18" s="240" t="s">
        <v>798</v>
      </c>
      <c r="K18" s="242" t="s">
        <v>299</v>
      </c>
      <c r="L18" s="242" t="s">
        <v>1396</v>
      </c>
      <c r="M18" s="238" t="s">
        <v>326</v>
      </c>
      <c r="N18" s="238" t="s">
        <v>312</v>
      </c>
      <c r="O18" s="245" t="s">
        <v>291</v>
      </c>
    </row>
    <row r="19" spans="1:15">
      <c r="A19" s="254" t="s">
        <v>269</v>
      </c>
      <c r="B19" s="243" t="s">
        <v>239</v>
      </c>
      <c r="C19" s="243" t="s">
        <v>260</v>
      </c>
      <c r="D19" s="240" t="s">
        <v>797</v>
      </c>
      <c r="K19" s="242" t="s">
        <v>299</v>
      </c>
      <c r="L19" s="242" t="s">
        <v>1397</v>
      </c>
      <c r="M19" s="238" t="s">
        <v>328</v>
      </c>
      <c r="N19" s="244" t="s">
        <v>314</v>
      </c>
      <c r="O19" s="245" t="s">
        <v>293</v>
      </c>
    </row>
    <row r="20" spans="1:15" ht="16.25">
      <c r="A20" s="242" t="s">
        <v>271</v>
      </c>
      <c r="B20" s="243" t="s">
        <v>239</v>
      </c>
      <c r="C20" s="268" t="s">
        <v>1348</v>
      </c>
      <c r="D20" s="240" t="str">
        <f>'Material Spec.'!A19</f>
        <v>CU1100</v>
      </c>
      <c r="K20" s="273" t="s">
        <v>1400</v>
      </c>
      <c r="L20" s="273" t="s">
        <v>1356</v>
      </c>
      <c r="M20" s="259"/>
      <c r="N20" s="251" t="s">
        <v>316</v>
      </c>
      <c r="O20" s="244" t="s">
        <v>1378</v>
      </c>
    </row>
    <row r="21" spans="1:15">
      <c r="A21" s="244" t="s">
        <v>273</v>
      </c>
      <c r="B21" s="243" t="s">
        <v>1349</v>
      </c>
      <c r="C21" s="268" t="s">
        <v>1390</v>
      </c>
      <c r="D21" s="237" t="s">
        <v>799</v>
      </c>
      <c r="K21" s="260" t="s">
        <v>233</v>
      </c>
      <c r="L21" s="260" t="s">
        <v>1357</v>
      </c>
      <c r="M21" s="259"/>
      <c r="N21" s="251" t="s">
        <v>318</v>
      </c>
      <c r="O21" s="248" t="s">
        <v>306</v>
      </c>
    </row>
    <row r="22" spans="1:15">
      <c r="A22" s="244" t="s">
        <v>275</v>
      </c>
      <c r="B22" s="243" t="s">
        <v>1349</v>
      </c>
      <c r="C22" s="268" t="s">
        <v>1391</v>
      </c>
      <c r="D22" s="240" t="str">
        <f>'Material Spec.'!A24</f>
        <v>KU400</v>
      </c>
      <c r="K22" s="261" t="s">
        <v>237</v>
      </c>
      <c r="L22" s="261" t="s">
        <v>1358</v>
      </c>
      <c r="M22" s="259"/>
      <c r="N22" s="258" t="s">
        <v>320</v>
      </c>
      <c r="O22" s="238" t="s">
        <v>324</v>
      </c>
    </row>
    <row r="23" spans="1:15">
      <c r="A23" s="245" t="s">
        <v>277</v>
      </c>
      <c r="B23" s="243" t="s">
        <v>239</v>
      </c>
      <c r="C23" s="268" t="s">
        <v>1392</v>
      </c>
      <c r="K23" s="262" t="s">
        <v>1403</v>
      </c>
      <c r="L23" s="262" t="s">
        <v>1359</v>
      </c>
      <c r="M23" s="259"/>
      <c r="N23" s="248" t="s">
        <v>322</v>
      </c>
      <c r="O23" s="238" t="s">
        <v>330</v>
      </c>
    </row>
    <row r="24" spans="1:15">
      <c r="A24" s="243" t="s">
        <v>279</v>
      </c>
      <c r="B24" s="268"/>
      <c r="C24" s="268"/>
      <c r="K24" s="263"/>
      <c r="L24" s="263"/>
      <c r="M24" s="259"/>
      <c r="N24" s="238" t="s">
        <v>324</v>
      </c>
      <c r="O24" s="238" t="s">
        <v>332</v>
      </c>
    </row>
    <row r="25" spans="1:15" ht="16.25">
      <c r="A25" s="251" t="s">
        <v>281</v>
      </c>
      <c r="B25" s="245" t="s">
        <v>252</v>
      </c>
      <c r="C25" s="245" t="s">
        <v>262</v>
      </c>
      <c r="K25" s="263"/>
      <c r="L25" s="263"/>
      <c r="M25" s="259"/>
      <c r="N25" s="238" t="s">
        <v>326</v>
      </c>
      <c r="O25" s="238" t="s">
        <v>1384</v>
      </c>
    </row>
    <row r="26" spans="1:15">
      <c r="A26" s="257" t="s">
        <v>283</v>
      </c>
      <c r="B26" s="245"/>
      <c r="C26" s="245"/>
      <c r="K26" s="263"/>
      <c r="L26" s="263"/>
      <c r="M26" s="259"/>
      <c r="N26" s="238" t="s">
        <v>328</v>
      </c>
      <c r="O26" s="238" t="s">
        <v>336</v>
      </c>
    </row>
    <row r="27" spans="1:15">
      <c r="A27" s="253" t="s">
        <v>285</v>
      </c>
      <c r="B27" s="245" t="s">
        <v>254</v>
      </c>
      <c r="C27" s="245" t="s">
        <v>264</v>
      </c>
      <c r="K27" s="263"/>
      <c r="L27" s="263"/>
      <c r="M27" s="259"/>
      <c r="N27" s="264" t="s">
        <v>681</v>
      </c>
      <c r="O27" s="238" t="s">
        <v>338</v>
      </c>
    </row>
    <row r="28" spans="1:15">
      <c r="A28" s="244" t="s">
        <v>287</v>
      </c>
      <c r="B28" s="245"/>
      <c r="C28" s="245"/>
      <c r="K28" s="263"/>
      <c r="L28" s="263"/>
      <c r="M28" s="259"/>
      <c r="N28" s="264" t="s">
        <v>682</v>
      </c>
      <c r="O28" s="238" t="s">
        <v>340</v>
      </c>
    </row>
    <row r="29" spans="1:15">
      <c r="A29" s="245" t="s">
        <v>289</v>
      </c>
      <c r="B29" s="276" t="s">
        <v>1402</v>
      </c>
      <c r="C29" s="276" t="s">
        <v>1404</v>
      </c>
      <c r="K29" s="263"/>
      <c r="L29" s="263"/>
      <c r="M29" s="259"/>
      <c r="N29" s="264" t="s">
        <v>683</v>
      </c>
      <c r="O29" s="238" t="s">
        <v>342</v>
      </c>
    </row>
    <row r="30" spans="1:15">
      <c r="A30" s="245" t="s">
        <v>291</v>
      </c>
      <c r="B30" s="245"/>
      <c r="C30" s="245"/>
      <c r="K30" s="263"/>
      <c r="L30" s="263"/>
      <c r="M30" s="259"/>
      <c r="N30" s="264" t="s">
        <v>684</v>
      </c>
      <c r="O30" s="238" t="s">
        <v>344</v>
      </c>
    </row>
    <row r="31" spans="1:15" ht="16.25">
      <c r="A31" s="245" t="s">
        <v>293</v>
      </c>
      <c r="B31" s="248" t="s">
        <v>1369</v>
      </c>
      <c r="C31" s="248" t="s">
        <v>266</v>
      </c>
      <c r="K31" s="263"/>
      <c r="L31" s="263"/>
      <c r="M31" s="259"/>
      <c r="N31" s="264" t="s">
        <v>685</v>
      </c>
      <c r="O31" s="238" t="s">
        <v>1385</v>
      </c>
    </row>
    <row r="32" spans="1:15" ht="16.25">
      <c r="A32" s="247" t="s">
        <v>295</v>
      </c>
      <c r="B32" s="248" t="s">
        <v>1369</v>
      </c>
      <c r="C32" s="248" t="s">
        <v>268</v>
      </c>
      <c r="K32" s="263"/>
      <c r="L32" s="263"/>
      <c r="M32" s="259"/>
      <c r="N32" s="264" t="s">
        <v>686</v>
      </c>
      <c r="O32" s="238" t="s">
        <v>1386</v>
      </c>
    </row>
    <row r="33" spans="1:15" ht="16.25">
      <c r="A33" s="242" t="s">
        <v>297</v>
      </c>
      <c r="B33" s="248"/>
      <c r="C33" s="248"/>
      <c r="K33" s="263"/>
      <c r="L33" s="263"/>
      <c r="M33" s="259"/>
      <c r="N33" s="264" t="s">
        <v>687</v>
      </c>
      <c r="O33" s="251" t="s">
        <v>1387</v>
      </c>
    </row>
    <row r="34" spans="1:15">
      <c r="A34" s="242" t="s">
        <v>299</v>
      </c>
      <c r="B34" s="246" t="s">
        <v>257</v>
      </c>
      <c r="C34" s="246" t="s">
        <v>270</v>
      </c>
      <c r="K34" s="263"/>
      <c r="L34" s="263"/>
      <c r="M34" s="259"/>
      <c r="N34" s="264" t="s">
        <v>688</v>
      </c>
    </row>
    <row r="35" spans="1:15">
      <c r="A35" s="272" t="s">
        <v>1401</v>
      </c>
      <c r="B35" s="246" t="s">
        <v>257</v>
      </c>
      <c r="C35" s="246" t="s">
        <v>272</v>
      </c>
      <c r="K35" s="263"/>
      <c r="L35" s="263"/>
      <c r="M35" s="259"/>
      <c r="N35" s="264" t="s">
        <v>689</v>
      </c>
    </row>
    <row r="36" spans="1:15" ht="16.25">
      <c r="A36" s="244" t="s">
        <v>1378</v>
      </c>
      <c r="B36" s="246"/>
      <c r="C36" s="246"/>
      <c r="K36" s="263"/>
      <c r="L36" s="263"/>
      <c r="N36" s="264" t="s">
        <v>690</v>
      </c>
    </row>
    <row r="37" spans="1:15">
      <c r="A37" s="251" t="s">
        <v>302</v>
      </c>
      <c r="B37" s="249" t="s">
        <v>259</v>
      </c>
      <c r="C37" s="249" t="s">
        <v>274</v>
      </c>
      <c r="K37" s="263"/>
      <c r="L37" s="263"/>
      <c r="N37" s="264" t="s">
        <v>691</v>
      </c>
    </row>
    <row r="38" spans="1:15">
      <c r="A38" s="245" t="s">
        <v>304</v>
      </c>
      <c r="B38" s="249"/>
      <c r="C38" s="249"/>
      <c r="K38" s="263"/>
      <c r="L38" s="263"/>
      <c r="N38" s="264" t="s">
        <v>692</v>
      </c>
    </row>
    <row r="39" spans="1:15">
      <c r="A39" s="248" t="s">
        <v>306</v>
      </c>
      <c r="B39" s="249" t="s">
        <v>261</v>
      </c>
      <c r="C39" s="249" t="s">
        <v>276</v>
      </c>
      <c r="K39" s="263"/>
      <c r="L39" s="263"/>
      <c r="N39" s="264" t="s">
        <v>693</v>
      </c>
    </row>
    <row r="40" spans="1:15">
      <c r="A40" s="253" t="s">
        <v>308</v>
      </c>
      <c r="B40" s="249"/>
      <c r="C40" s="249"/>
      <c r="K40" s="263"/>
      <c r="L40" s="263"/>
      <c r="N40" s="264" t="s">
        <v>694</v>
      </c>
    </row>
    <row r="41" spans="1:15">
      <c r="A41" s="249" t="s">
        <v>310</v>
      </c>
      <c r="B41" s="249" t="s">
        <v>263</v>
      </c>
      <c r="C41" s="249" t="s">
        <v>278</v>
      </c>
      <c r="K41" s="263"/>
      <c r="L41" s="263"/>
      <c r="N41" s="264" t="s">
        <v>695</v>
      </c>
    </row>
    <row r="42" spans="1:15">
      <c r="A42" s="238" t="s">
        <v>312</v>
      </c>
      <c r="B42" s="249"/>
      <c r="C42" s="249"/>
      <c r="K42" s="263"/>
      <c r="L42" s="263"/>
    </row>
    <row r="43" spans="1:15">
      <c r="A43" s="244" t="s">
        <v>314</v>
      </c>
      <c r="B43" s="249" t="s">
        <v>265</v>
      </c>
      <c r="C43" s="249" t="s">
        <v>280</v>
      </c>
      <c r="K43" s="263"/>
      <c r="L43" s="263"/>
    </row>
    <row r="44" spans="1:15">
      <c r="A44" s="251" t="s">
        <v>316</v>
      </c>
      <c r="B44" s="249"/>
      <c r="C44" s="249"/>
      <c r="K44" s="263"/>
      <c r="L44" s="263"/>
    </row>
    <row r="45" spans="1:15">
      <c r="A45" s="251" t="s">
        <v>318</v>
      </c>
      <c r="B45" s="252" t="s">
        <v>1405</v>
      </c>
      <c r="C45" s="252" t="s">
        <v>282</v>
      </c>
      <c r="K45" s="263"/>
      <c r="L45" s="263"/>
    </row>
    <row r="46" spans="1:15">
      <c r="A46" s="258" t="s">
        <v>320</v>
      </c>
      <c r="B46" s="252" t="s">
        <v>1405</v>
      </c>
      <c r="C46" s="252" t="s">
        <v>284</v>
      </c>
      <c r="K46" s="263"/>
      <c r="L46" s="263"/>
    </row>
    <row r="47" spans="1:15">
      <c r="A47" s="248" t="s">
        <v>322</v>
      </c>
      <c r="B47" s="252"/>
      <c r="C47" s="252"/>
      <c r="K47" s="263"/>
      <c r="L47" s="263"/>
    </row>
    <row r="48" spans="1:15">
      <c r="A48" s="238" t="s">
        <v>324</v>
      </c>
      <c r="B48" s="254" t="s">
        <v>269</v>
      </c>
      <c r="C48" s="254" t="s">
        <v>286</v>
      </c>
      <c r="K48" s="263"/>
      <c r="L48" s="263"/>
    </row>
    <row r="49" spans="1:12">
      <c r="A49" s="238" t="s">
        <v>326</v>
      </c>
      <c r="B49" s="254"/>
      <c r="C49" s="254"/>
      <c r="K49" s="263"/>
      <c r="L49" s="263"/>
    </row>
    <row r="50" spans="1:12">
      <c r="A50" s="238" t="s">
        <v>328</v>
      </c>
      <c r="B50" s="242" t="s">
        <v>271</v>
      </c>
      <c r="C50" s="242" t="s">
        <v>288</v>
      </c>
      <c r="K50" s="263"/>
      <c r="L50" s="263"/>
    </row>
    <row r="51" spans="1:12">
      <c r="A51" s="238" t="s">
        <v>330</v>
      </c>
      <c r="B51" s="242" t="s">
        <v>271</v>
      </c>
      <c r="C51" s="242" t="s">
        <v>290</v>
      </c>
      <c r="K51" s="263"/>
      <c r="L51" s="263"/>
    </row>
    <row r="52" spans="1:12">
      <c r="A52" s="238" t="s">
        <v>332</v>
      </c>
      <c r="B52" s="242" t="s">
        <v>271</v>
      </c>
      <c r="C52" s="242" t="s">
        <v>292</v>
      </c>
      <c r="K52" s="263"/>
      <c r="L52" s="263"/>
    </row>
    <row r="53" spans="1:12" ht="16.25">
      <c r="A53" s="238" t="s">
        <v>1384</v>
      </c>
      <c r="B53" s="242"/>
      <c r="C53" s="242"/>
      <c r="K53" s="263"/>
      <c r="L53" s="263"/>
    </row>
    <row r="54" spans="1:12">
      <c r="A54" s="265" t="s">
        <v>237</v>
      </c>
      <c r="B54" s="244" t="s">
        <v>273</v>
      </c>
      <c r="C54" s="244" t="s">
        <v>294</v>
      </c>
      <c r="K54" s="263"/>
      <c r="L54" s="263"/>
    </row>
    <row r="55" spans="1:12">
      <c r="A55" s="238" t="s">
        <v>336</v>
      </c>
      <c r="B55" s="244"/>
      <c r="C55" s="244"/>
      <c r="K55" s="263"/>
      <c r="L55" s="263"/>
    </row>
    <row r="56" spans="1:12">
      <c r="A56" s="238" t="s">
        <v>338</v>
      </c>
      <c r="B56" s="244" t="s">
        <v>275</v>
      </c>
      <c r="C56" s="244" t="s">
        <v>296</v>
      </c>
      <c r="K56" s="263"/>
      <c r="L56" s="263"/>
    </row>
    <row r="57" spans="1:12">
      <c r="A57" s="238" t="s">
        <v>340</v>
      </c>
      <c r="B57" s="244"/>
      <c r="C57" s="244"/>
      <c r="K57" s="263"/>
      <c r="L57" s="263"/>
    </row>
    <row r="58" spans="1:12">
      <c r="A58" s="238" t="s">
        <v>342</v>
      </c>
      <c r="B58" s="245" t="s">
        <v>277</v>
      </c>
      <c r="C58" s="245" t="s">
        <v>298</v>
      </c>
      <c r="K58" s="263"/>
      <c r="L58" s="263"/>
    </row>
    <row r="59" spans="1:12">
      <c r="A59" s="238" t="s">
        <v>344</v>
      </c>
      <c r="B59" s="245" t="s">
        <v>277</v>
      </c>
      <c r="C59" s="245" t="s">
        <v>300</v>
      </c>
      <c r="K59" s="263"/>
      <c r="L59" s="263"/>
    </row>
    <row r="60" spans="1:12">
      <c r="A60" s="246" t="s">
        <v>240</v>
      </c>
      <c r="B60" s="245" t="s">
        <v>277</v>
      </c>
      <c r="C60" s="245" t="s">
        <v>301</v>
      </c>
      <c r="K60" s="263"/>
      <c r="L60" s="263"/>
    </row>
    <row r="61" spans="1:12">
      <c r="A61" s="253" t="s">
        <v>233</v>
      </c>
      <c r="B61" s="245" t="s">
        <v>277</v>
      </c>
      <c r="C61" s="245" t="s">
        <v>303</v>
      </c>
      <c r="K61" s="263"/>
      <c r="L61" s="263"/>
    </row>
    <row r="62" spans="1:12" ht="16.25">
      <c r="A62" s="266" t="s">
        <v>1388</v>
      </c>
      <c r="B62" s="245"/>
      <c r="C62" s="245"/>
      <c r="K62" s="263"/>
      <c r="L62" s="263"/>
    </row>
    <row r="63" spans="1:12" ht="16.25">
      <c r="A63" s="245" t="s">
        <v>1389</v>
      </c>
      <c r="B63" s="243" t="s">
        <v>279</v>
      </c>
      <c r="C63" s="243" t="s">
        <v>305</v>
      </c>
      <c r="K63" s="263"/>
      <c r="L63" s="263"/>
    </row>
    <row r="64" spans="1:12" ht="16.25">
      <c r="A64" s="238" t="s">
        <v>1385</v>
      </c>
      <c r="B64" s="243"/>
      <c r="C64" s="243"/>
      <c r="K64" s="263"/>
      <c r="L64" s="263"/>
    </row>
    <row r="65" spans="1:3" ht="16.25">
      <c r="A65" s="238" t="s">
        <v>1386</v>
      </c>
      <c r="B65" s="251" t="s">
        <v>281</v>
      </c>
      <c r="C65" s="251" t="s">
        <v>307</v>
      </c>
    </row>
    <row r="66" spans="1:3" ht="16.25">
      <c r="A66" s="251" t="s">
        <v>1387</v>
      </c>
      <c r="B66" s="251" t="s">
        <v>281</v>
      </c>
      <c r="C66" s="251" t="s">
        <v>309</v>
      </c>
    </row>
    <row r="67" spans="1:3">
      <c r="A67" s="269" t="s">
        <v>613</v>
      </c>
      <c r="B67" s="251" t="s">
        <v>281</v>
      </c>
      <c r="C67" s="251" t="s">
        <v>311</v>
      </c>
    </row>
    <row r="68" spans="1:3">
      <c r="A68" s="270" t="s">
        <v>1398</v>
      </c>
      <c r="B68" s="251" t="s">
        <v>281</v>
      </c>
      <c r="C68" s="251" t="s">
        <v>313</v>
      </c>
    </row>
    <row r="69" spans="1:3">
      <c r="A69" s="271" t="s">
        <v>1399</v>
      </c>
      <c r="B69" s="251" t="s">
        <v>281</v>
      </c>
      <c r="C69" s="251" t="s">
        <v>315</v>
      </c>
    </row>
    <row r="70" spans="1:3">
      <c r="A70" s="263" t="s">
        <v>527</v>
      </c>
      <c r="B70" s="251"/>
      <c r="C70" s="251"/>
    </row>
    <row r="71" spans="1:3">
      <c r="B71" s="257" t="s">
        <v>283</v>
      </c>
      <c r="C71" s="257" t="s">
        <v>317</v>
      </c>
    </row>
    <row r="72" spans="1:3">
      <c r="B72" s="257"/>
      <c r="C72" s="257"/>
    </row>
    <row r="73" spans="1:3">
      <c r="B73" s="253" t="s">
        <v>285</v>
      </c>
      <c r="C73" s="253" t="s">
        <v>319</v>
      </c>
    </row>
    <row r="74" spans="1:3">
      <c r="B74" s="253"/>
      <c r="C74" s="253"/>
    </row>
    <row r="75" spans="1:3">
      <c r="B75" s="244" t="s">
        <v>287</v>
      </c>
      <c r="C75" s="244" t="s">
        <v>321</v>
      </c>
    </row>
    <row r="76" spans="1:3">
      <c r="B76" s="244" t="s">
        <v>287</v>
      </c>
      <c r="C76" s="244" t="s">
        <v>323</v>
      </c>
    </row>
    <row r="77" spans="1:3">
      <c r="B77" s="244" t="s">
        <v>287</v>
      </c>
      <c r="C77" s="244" t="s">
        <v>325</v>
      </c>
    </row>
    <row r="78" spans="1:3">
      <c r="B78" s="244" t="s">
        <v>287</v>
      </c>
      <c r="C78" s="244" t="s">
        <v>327</v>
      </c>
    </row>
    <row r="79" spans="1:3">
      <c r="B79" s="244"/>
      <c r="C79" s="244"/>
    </row>
    <row r="80" spans="1:3">
      <c r="B80" s="245" t="s">
        <v>289</v>
      </c>
      <c r="C80" s="245" t="s">
        <v>329</v>
      </c>
    </row>
    <row r="81" spans="2:3">
      <c r="B81" s="245"/>
      <c r="C81" s="245"/>
    </row>
    <row r="82" spans="2:3">
      <c r="B82" s="245" t="s">
        <v>291</v>
      </c>
      <c r="C82" s="245" t="s">
        <v>331</v>
      </c>
    </row>
    <row r="83" spans="2:3">
      <c r="B83" s="245"/>
      <c r="C83" s="245"/>
    </row>
    <row r="84" spans="2:3">
      <c r="B84" s="245" t="s">
        <v>293</v>
      </c>
      <c r="C84" s="245" t="s">
        <v>333</v>
      </c>
    </row>
    <row r="85" spans="2:3">
      <c r="B85" s="245"/>
      <c r="C85" s="245"/>
    </row>
    <row r="86" spans="2:3">
      <c r="B86" s="247" t="s">
        <v>295</v>
      </c>
      <c r="C86" s="247" t="s">
        <v>334</v>
      </c>
    </row>
    <row r="87" spans="2:3">
      <c r="B87" s="247" t="s">
        <v>295</v>
      </c>
      <c r="C87" s="247" t="s">
        <v>335</v>
      </c>
    </row>
    <row r="88" spans="2:3">
      <c r="B88" s="247" t="s">
        <v>295</v>
      </c>
      <c r="C88" s="247" t="s">
        <v>337</v>
      </c>
    </row>
    <row r="89" spans="2:3">
      <c r="B89" s="247" t="s">
        <v>295</v>
      </c>
      <c r="C89" s="247" t="s">
        <v>339</v>
      </c>
    </row>
    <row r="90" spans="2:3">
      <c r="B90" s="247" t="s">
        <v>295</v>
      </c>
      <c r="C90" s="247" t="s">
        <v>341</v>
      </c>
    </row>
    <row r="91" spans="2:3">
      <c r="B91" s="247" t="s">
        <v>295</v>
      </c>
      <c r="C91" s="247" t="s">
        <v>343</v>
      </c>
    </row>
    <row r="92" spans="2:3">
      <c r="B92" s="247" t="s">
        <v>295</v>
      </c>
      <c r="C92" s="247" t="s">
        <v>345</v>
      </c>
    </row>
    <row r="93" spans="2:3">
      <c r="B93" s="247" t="s">
        <v>295</v>
      </c>
      <c r="C93" s="247" t="s">
        <v>346</v>
      </c>
    </row>
    <row r="94" spans="2:3">
      <c r="B94" s="247" t="s">
        <v>295</v>
      </c>
      <c r="C94" s="247" t="s">
        <v>347</v>
      </c>
    </row>
    <row r="95" spans="2:3">
      <c r="B95" s="247" t="s">
        <v>295</v>
      </c>
      <c r="C95" s="247" t="s">
        <v>348</v>
      </c>
    </row>
    <row r="96" spans="2:3">
      <c r="B96" s="247" t="s">
        <v>295</v>
      </c>
      <c r="C96" s="247" t="s">
        <v>349</v>
      </c>
    </row>
    <row r="97" spans="2:3">
      <c r="B97" s="247" t="s">
        <v>295</v>
      </c>
      <c r="C97" s="247" t="s">
        <v>350</v>
      </c>
    </row>
    <row r="98" spans="2:3">
      <c r="B98" s="247" t="s">
        <v>295</v>
      </c>
      <c r="C98" s="277" t="s">
        <v>1360</v>
      </c>
    </row>
    <row r="99" spans="2:3">
      <c r="B99" s="247" t="s">
        <v>295</v>
      </c>
      <c r="C99" s="277" t="s">
        <v>1361</v>
      </c>
    </row>
    <row r="100" spans="2:3">
      <c r="B100" s="247"/>
      <c r="C100" s="247"/>
    </row>
    <row r="101" spans="2:3">
      <c r="B101" s="242" t="s">
        <v>297</v>
      </c>
      <c r="C101" s="242" t="s">
        <v>351</v>
      </c>
    </row>
    <row r="102" spans="2:3">
      <c r="B102" s="242" t="s">
        <v>297</v>
      </c>
      <c r="C102" s="242" t="s">
        <v>352</v>
      </c>
    </row>
    <row r="103" spans="2:3">
      <c r="B103" s="242" t="s">
        <v>297</v>
      </c>
      <c r="C103" s="272" t="s">
        <v>1355</v>
      </c>
    </row>
    <row r="104" spans="2:3">
      <c r="B104" s="272"/>
      <c r="C104" s="272"/>
    </row>
    <row r="105" spans="2:3">
      <c r="B105" s="242" t="s">
        <v>299</v>
      </c>
      <c r="C105" s="242" t="s">
        <v>353</v>
      </c>
    </row>
    <row r="106" spans="2:3">
      <c r="B106" s="242" t="s">
        <v>299</v>
      </c>
      <c r="C106" s="272" t="s">
        <v>1393</v>
      </c>
    </row>
    <row r="107" spans="2:3">
      <c r="B107" s="242" t="s">
        <v>299</v>
      </c>
      <c r="C107" s="272" t="s">
        <v>1394</v>
      </c>
    </row>
    <row r="108" spans="2:3">
      <c r="B108" s="242"/>
      <c r="C108" s="272"/>
    </row>
    <row r="109" spans="2:3">
      <c r="B109" s="272" t="s">
        <v>1400</v>
      </c>
      <c r="C109" s="272" t="s">
        <v>1356</v>
      </c>
    </row>
    <row r="110" spans="2:3">
      <c r="B110" s="242"/>
      <c r="C110" s="242"/>
    </row>
    <row r="111" spans="2:3" ht="16.25">
      <c r="B111" s="244" t="s">
        <v>1378</v>
      </c>
      <c r="C111" s="244" t="s">
        <v>354</v>
      </c>
    </row>
    <row r="112" spans="2:3" ht="16.25">
      <c r="B112" s="244" t="s">
        <v>1378</v>
      </c>
      <c r="C112" s="244" t="s">
        <v>355</v>
      </c>
    </row>
    <row r="113" spans="2:3">
      <c r="B113" s="244"/>
      <c r="C113" s="244"/>
    </row>
    <row r="114" spans="2:3">
      <c r="B114" s="251" t="s">
        <v>302</v>
      </c>
      <c r="C114" s="251" t="s">
        <v>356</v>
      </c>
    </row>
    <row r="115" spans="2:3">
      <c r="B115" s="251" t="s">
        <v>302</v>
      </c>
      <c r="C115" s="251" t="s">
        <v>357</v>
      </c>
    </row>
    <row r="116" spans="2:3">
      <c r="B116" s="251"/>
      <c r="C116" s="251"/>
    </row>
    <row r="117" spans="2:3">
      <c r="B117" s="245" t="s">
        <v>304</v>
      </c>
      <c r="C117" s="245" t="s">
        <v>358</v>
      </c>
    </row>
    <row r="118" spans="2:3">
      <c r="B118" s="245" t="s">
        <v>304</v>
      </c>
      <c r="C118" s="245" t="s">
        <v>359</v>
      </c>
    </row>
    <row r="119" spans="2:3">
      <c r="B119" s="245" t="s">
        <v>304</v>
      </c>
      <c r="C119" s="245" t="s">
        <v>360</v>
      </c>
    </row>
    <row r="120" spans="2:3">
      <c r="B120" s="245" t="s">
        <v>304</v>
      </c>
      <c r="C120" s="267" t="s">
        <v>361</v>
      </c>
    </row>
    <row r="121" spans="2:3">
      <c r="B121" s="245" t="s">
        <v>304</v>
      </c>
      <c r="C121" s="245" t="s">
        <v>362</v>
      </c>
    </row>
    <row r="122" spans="2:3">
      <c r="B122" s="245" t="s">
        <v>304</v>
      </c>
      <c r="C122" s="245" t="s">
        <v>363</v>
      </c>
    </row>
    <row r="123" spans="2:3">
      <c r="B123" s="245" t="s">
        <v>304</v>
      </c>
      <c r="C123" s="245" t="s">
        <v>364</v>
      </c>
    </row>
    <row r="124" spans="2:3">
      <c r="B124" s="245" t="s">
        <v>304</v>
      </c>
      <c r="C124" s="245" t="s">
        <v>365</v>
      </c>
    </row>
    <row r="125" spans="2:3">
      <c r="B125" s="245" t="s">
        <v>304</v>
      </c>
      <c r="C125" s="245" t="s">
        <v>366</v>
      </c>
    </row>
    <row r="126" spans="2:3">
      <c r="B126" s="245"/>
      <c r="C126" s="245"/>
    </row>
    <row r="127" spans="2:3">
      <c r="B127" s="248" t="s">
        <v>306</v>
      </c>
      <c r="C127" s="248" t="s">
        <v>367</v>
      </c>
    </row>
    <row r="128" spans="2:3">
      <c r="B128" s="248" t="s">
        <v>306</v>
      </c>
      <c r="C128" s="248" t="s">
        <v>368</v>
      </c>
    </row>
    <row r="129" spans="2:3">
      <c r="B129" s="248"/>
      <c r="C129" s="248"/>
    </row>
    <row r="130" spans="2:3">
      <c r="B130" s="253" t="s">
        <v>308</v>
      </c>
      <c r="C130" s="253" t="s">
        <v>369</v>
      </c>
    </row>
    <row r="131" spans="2:3">
      <c r="B131" s="253"/>
      <c r="C131" s="253"/>
    </row>
    <row r="132" spans="2:3">
      <c r="B132" s="249" t="s">
        <v>310</v>
      </c>
      <c r="C132" s="249" t="s">
        <v>370</v>
      </c>
    </row>
    <row r="133" spans="2:3">
      <c r="B133" s="249" t="s">
        <v>310</v>
      </c>
      <c r="C133" s="249" t="s">
        <v>371</v>
      </c>
    </row>
    <row r="134" spans="2:3">
      <c r="B134" s="249" t="s">
        <v>310</v>
      </c>
      <c r="C134" s="249" t="s">
        <v>372</v>
      </c>
    </row>
    <row r="135" spans="2:3">
      <c r="B135" s="249" t="s">
        <v>310</v>
      </c>
      <c r="C135" s="249" t="s">
        <v>373</v>
      </c>
    </row>
    <row r="136" spans="2:3">
      <c r="B136" s="249"/>
      <c r="C136" s="249"/>
    </row>
    <row r="137" spans="2:3">
      <c r="B137" s="238" t="s">
        <v>312</v>
      </c>
      <c r="C137" s="238" t="s">
        <v>374</v>
      </c>
    </row>
    <row r="138" spans="2:3">
      <c r="B138" s="238"/>
      <c r="C138" s="238"/>
    </row>
    <row r="139" spans="2:3">
      <c r="B139" s="244" t="s">
        <v>314</v>
      </c>
      <c r="C139" s="244" t="s">
        <v>375</v>
      </c>
    </row>
    <row r="140" spans="2:3">
      <c r="B140" s="244" t="s">
        <v>314</v>
      </c>
      <c r="C140" s="244" t="s">
        <v>376</v>
      </c>
    </row>
    <row r="141" spans="2:3">
      <c r="B141" s="244"/>
      <c r="C141" s="244"/>
    </row>
    <row r="142" spans="2:3">
      <c r="B142" s="251" t="s">
        <v>316</v>
      </c>
      <c r="C142" s="251" t="s">
        <v>377</v>
      </c>
    </row>
    <row r="143" spans="2:3">
      <c r="B143" s="251"/>
      <c r="C143" s="251"/>
    </row>
    <row r="144" spans="2:3">
      <c r="B144" s="251" t="s">
        <v>318</v>
      </c>
      <c r="C144" s="251" t="s">
        <v>378</v>
      </c>
    </row>
    <row r="145" spans="2:3">
      <c r="B145" s="251"/>
      <c r="C145" s="251"/>
    </row>
    <row r="146" spans="2:3">
      <c r="B146" s="258" t="s">
        <v>320</v>
      </c>
      <c r="C146" s="258" t="s">
        <v>379</v>
      </c>
    </row>
    <row r="147" spans="2:3">
      <c r="B147" s="258"/>
      <c r="C147" s="258"/>
    </row>
    <row r="148" spans="2:3">
      <c r="B148" s="248" t="s">
        <v>322</v>
      </c>
      <c r="C148" s="248" t="s">
        <v>380</v>
      </c>
    </row>
    <row r="149" spans="2:3">
      <c r="B149" s="248" t="s">
        <v>322</v>
      </c>
      <c r="C149" s="248" t="s">
        <v>381</v>
      </c>
    </row>
    <row r="150" spans="2:3">
      <c r="B150" s="248" t="s">
        <v>322</v>
      </c>
      <c r="C150" s="248" t="s">
        <v>382</v>
      </c>
    </row>
    <row r="151" spans="2:3">
      <c r="B151" s="248" t="s">
        <v>322</v>
      </c>
      <c r="C151" s="248" t="s">
        <v>383</v>
      </c>
    </row>
    <row r="152" spans="2:3">
      <c r="B152" s="248" t="s">
        <v>322</v>
      </c>
      <c r="C152" s="248" t="s">
        <v>384</v>
      </c>
    </row>
    <row r="153" spans="2:3">
      <c r="B153" s="248" t="s">
        <v>322</v>
      </c>
      <c r="C153" s="248" t="s">
        <v>385</v>
      </c>
    </row>
    <row r="154" spans="2:3">
      <c r="B154" s="248" t="s">
        <v>322</v>
      </c>
      <c r="C154" s="248" t="s">
        <v>386</v>
      </c>
    </row>
    <row r="155" spans="2:3">
      <c r="B155" s="248"/>
      <c r="C155" s="248"/>
    </row>
    <row r="156" spans="2:3">
      <c r="B156" s="238" t="s">
        <v>324</v>
      </c>
      <c r="C156" s="238" t="s">
        <v>387</v>
      </c>
    </row>
    <row r="157" spans="2:3">
      <c r="B157" s="238"/>
      <c r="C157" s="238"/>
    </row>
    <row r="158" spans="2:3">
      <c r="B158" s="238" t="s">
        <v>326</v>
      </c>
      <c r="C158" s="238" t="s">
        <v>388</v>
      </c>
    </row>
    <row r="159" spans="2:3">
      <c r="B159" s="238"/>
      <c r="C159" s="238"/>
    </row>
    <row r="160" spans="2:3">
      <c r="B160" s="238" t="s">
        <v>328</v>
      </c>
      <c r="C160" s="238" t="s">
        <v>389</v>
      </c>
    </row>
    <row r="161" spans="2:3">
      <c r="B161" s="238"/>
      <c r="C161" s="238"/>
    </row>
    <row r="162" spans="2:3">
      <c r="B162" s="238" t="s">
        <v>330</v>
      </c>
      <c r="C162" s="238" t="s">
        <v>390</v>
      </c>
    </row>
    <row r="163" spans="2:3">
      <c r="B163" s="238"/>
      <c r="C163" s="238"/>
    </row>
    <row r="164" spans="2:3">
      <c r="B164" s="238" t="s">
        <v>332</v>
      </c>
      <c r="C164" s="238" t="s">
        <v>391</v>
      </c>
    </row>
    <row r="165" spans="2:3">
      <c r="B165" s="238"/>
      <c r="C165" s="238"/>
    </row>
    <row r="166" spans="2:3" ht="16.25">
      <c r="B166" s="238" t="s">
        <v>1384</v>
      </c>
      <c r="C166" s="238" t="s">
        <v>392</v>
      </c>
    </row>
    <row r="167" spans="2:3">
      <c r="B167" s="238"/>
      <c r="C167" s="238"/>
    </row>
    <row r="168" spans="2:3">
      <c r="B168" s="265" t="s">
        <v>237</v>
      </c>
      <c r="C168" s="265" t="s">
        <v>393</v>
      </c>
    </row>
    <row r="169" spans="2:3">
      <c r="B169" s="265" t="s">
        <v>237</v>
      </c>
      <c r="C169" s="265" t="s">
        <v>394</v>
      </c>
    </row>
    <row r="170" spans="2:3">
      <c r="B170" s="265" t="s">
        <v>237</v>
      </c>
      <c r="C170" s="275" t="s">
        <v>1358</v>
      </c>
    </row>
    <row r="171" spans="2:3">
      <c r="B171" s="265"/>
      <c r="C171" s="265"/>
    </row>
    <row r="172" spans="2:3">
      <c r="B172" s="238" t="s">
        <v>336</v>
      </c>
      <c r="C172" s="238" t="s">
        <v>395</v>
      </c>
    </row>
    <row r="173" spans="2:3">
      <c r="B173" s="238"/>
      <c r="C173" s="238"/>
    </row>
    <row r="174" spans="2:3">
      <c r="B174" s="238" t="s">
        <v>338</v>
      </c>
      <c r="C174" s="238" t="s">
        <v>396</v>
      </c>
    </row>
    <row r="175" spans="2:3">
      <c r="B175" s="238"/>
      <c r="C175" s="238"/>
    </row>
    <row r="176" spans="2:3">
      <c r="B176" s="238" t="s">
        <v>340</v>
      </c>
      <c r="C176" s="238" t="s">
        <v>397</v>
      </c>
    </row>
    <row r="177" spans="2:3">
      <c r="B177" s="238"/>
      <c r="C177" s="238"/>
    </row>
    <row r="178" spans="2:3">
      <c r="B178" s="238" t="s">
        <v>342</v>
      </c>
      <c r="C178" s="238" t="s">
        <v>398</v>
      </c>
    </row>
    <row r="179" spans="2:3">
      <c r="B179" s="238" t="s">
        <v>342</v>
      </c>
      <c r="C179" s="238" t="s">
        <v>399</v>
      </c>
    </row>
    <row r="180" spans="2:3">
      <c r="B180" s="238"/>
      <c r="C180" s="238"/>
    </row>
    <row r="181" spans="2:3">
      <c r="B181" s="238" t="s">
        <v>344</v>
      </c>
      <c r="C181" s="238" t="s">
        <v>400</v>
      </c>
    </row>
    <row r="182" spans="2:3">
      <c r="B182" s="238"/>
      <c r="C182" s="238"/>
    </row>
    <row r="183" spans="2:3">
      <c r="B183" s="246" t="s">
        <v>240</v>
      </c>
      <c r="C183" s="246" t="s">
        <v>667</v>
      </c>
    </row>
    <row r="184" spans="2:3">
      <c r="B184" s="246" t="s">
        <v>240</v>
      </c>
      <c r="C184" s="246" t="s">
        <v>668</v>
      </c>
    </row>
    <row r="185" spans="2:3">
      <c r="B185" s="246" t="s">
        <v>240</v>
      </c>
      <c r="C185" s="246" t="s">
        <v>669</v>
      </c>
    </row>
    <row r="186" spans="2:3">
      <c r="B186" s="246" t="s">
        <v>240</v>
      </c>
      <c r="C186" s="246" t="s">
        <v>670</v>
      </c>
    </row>
    <row r="187" spans="2:3">
      <c r="B187" s="246" t="s">
        <v>240</v>
      </c>
      <c r="C187" s="246" t="s">
        <v>671</v>
      </c>
    </row>
    <row r="188" spans="2:3">
      <c r="B188" s="246"/>
      <c r="C188" s="246"/>
    </row>
    <row r="189" spans="2:3">
      <c r="B189" s="253" t="s">
        <v>233</v>
      </c>
      <c r="C189" s="253" t="s">
        <v>401</v>
      </c>
    </row>
    <row r="190" spans="2:3">
      <c r="B190" s="253" t="s">
        <v>233</v>
      </c>
      <c r="C190" s="253" t="s">
        <v>402</v>
      </c>
    </row>
    <row r="191" spans="2:3">
      <c r="B191" s="253" t="s">
        <v>233</v>
      </c>
      <c r="C191" s="253" t="s">
        <v>403</v>
      </c>
    </row>
    <row r="192" spans="2:3">
      <c r="B192" s="253" t="s">
        <v>233</v>
      </c>
      <c r="C192" s="253" t="s">
        <v>404</v>
      </c>
    </row>
    <row r="193" spans="2:3">
      <c r="B193" s="253" t="s">
        <v>233</v>
      </c>
      <c r="C193" s="253" t="s">
        <v>405</v>
      </c>
    </row>
    <row r="194" spans="2:3">
      <c r="B194" s="253" t="s">
        <v>233</v>
      </c>
      <c r="C194" s="253" t="s">
        <v>406</v>
      </c>
    </row>
    <row r="195" spans="2:3">
      <c r="B195" s="274" t="s">
        <v>233</v>
      </c>
      <c r="C195" s="274" t="s">
        <v>1357</v>
      </c>
    </row>
    <row r="196" spans="2:3">
      <c r="B196" s="253" t="s">
        <v>233</v>
      </c>
      <c r="C196" s="253" t="s">
        <v>407</v>
      </c>
    </row>
    <row r="197" spans="2:3">
      <c r="B197" s="253" t="s">
        <v>233</v>
      </c>
      <c r="C197" s="253" t="s">
        <v>408</v>
      </c>
    </row>
    <row r="198" spans="2:3">
      <c r="B198" s="253" t="s">
        <v>233</v>
      </c>
      <c r="C198" s="253" t="s">
        <v>409</v>
      </c>
    </row>
    <row r="199" spans="2:3">
      <c r="B199" s="253" t="s">
        <v>233</v>
      </c>
      <c r="C199" s="253" t="s">
        <v>410</v>
      </c>
    </row>
    <row r="200" spans="2:3">
      <c r="B200" s="253"/>
      <c r="C200" s="253"/>
    </row>
    <row r="201" spans="2:3" ht="16.25">
      <c r="B201" s="266" t="s">
        <v>1388</v>
      </c>
      <c r="C201" s="266" t="s">
        <v>411</v>
      </c>
    </row>
    <row r="202" spans="2:3">
      <c r="B202" s="266"/>
      <c r="C202" s="266"/>
    </row>
    <row r="203" spans="2:3" ht="16.25">
      <c r="B203" s="245" t="s">
        <v>1389</v>
      </c>
      <c r="C203" s="245" t="s">
        <v>412</v>
      </c>
    </row>
    <row r="204" spans="2:3" ht="16.25">
      <c r="B204" s="245" t="s">
        <v>1389</v>
      </c>
      <c r="C204" s="245" t="s">
        <v>413</v>
      </c>
    </row>
    <row r="205" spans="2:3">
      <c r="B205" s="245"/>
      <c r="C205" s="245"/>
    </row>
    <row r="206" spans="2:3" ht="16.25">
      <c r="B206" s="238" t="s">
        <v>1385</v>
      </c>
      <c r="C206" s="238" t="s">
        <v>414</v>
      </c>
    </row>
    <row r="207" spans="2:3">
      <c r="B207" s="238"/>
      <c r="C207" s="238"/>
    </row>
    <row r="208" spans="2:3" ht="16.25">
      <c r="B208" s="238" t="s">
        <v>1386</v>
      </c>
      <c r="C208" s="238" t="s">
        <v>415</v>
      </c>
    </row>
    <row r="209" spans="2:3">
      <c r="B209" s="238"/>
      <c r="C209" s="238"/>
    </row>
    <row r="210" spans="2:3" ht="16.25">
      <c r="B210" s="251" t="s">
        <v>1387</v>
      </c>
      <c r="C210" s="251" t="s">
        <v>416</v>
      </c>
    </row>
    <row r="211" spans="2:3" ht="16.25">
      <c r="B211" s="251" t="s">
        <v>1387</v>
      </c>
      <c r="C211" s="251" t="s">
        <v>417</v>
      </c>
    </row>
    <row r="212" spans="2:3" ht="16.25">
      <c r="B212" s="251" t="s">
        <v>1387</v>
      </c>
      <c r="C212" s="251" t="s">
        <v>418</v>
      </c>
    </row>
    <row r="213" spans="2:3">
      <c r="B213" s="251"/>
      <c r="C213" s="251"/>
    </row>
    <row r="214" spans="2:3">
      <c r="B214" s="278" t="s">
        <v>613</v>
      </c>
      <c r="C214" s="279" t="s">
        <v>1346</v>
      </c>
    </row>
    <row r="215" spans="2:3">
      <c r="B215" s="278" t="s">
        <v>613</v>
      </c>
      <c r="C215" s="279" t="s">
        <v>1347</v>
      </c>
    </row>
    <row r="216" spans="2:3">
      <c r="B216" s="278" t="s">
        <v>613</v>
      </c>
      <c r="C216" s="279" t="s">
        <v>1406</v>
      </c>
    </row>
    <row r="217" spans="2:3">
      <c r="B217" s="278" t="s">
        <v>613</v>
      </c>
      <c r="C217" s="279" t="s">
        <v>1407</v>
      </c>
    </row>
    <row r="219" spans="2:3">
      <c r="B219" s="255" t="s">
        <v>1398</v>
      </c>
      <c r="C219" s="270" t="s">
        <v>1353</v>
      </c>
    </row>
    <row r="220" spans="2:3" ht="16">
      <c r="B220" s="255" t="s">
        <v>1398</v>
      </c>
      <c r="C220" s="270" t="s">
        <v>1408</v>
      </c>
    </row>
    <row r="221" spans="2:3">
      <c r="B221" s="255"/>
      <c r="C221" s="270"/>
    </row>
    <row r="222" spans="2:3" ht="16.25">
      <c r="B222" s="256" t="s">
        <v>1399</v>
      </c>
      <c r="C222" s="271" t="s">
        <v>1409</v>
      </c>
    </row>
    <row r="223" spans="2:3" ht="16.25">
      <c r="B223" s="256" t="s">
        <v>1399</v>
      </c>
      <c r="C223" s="271" t="s">
        <v>1410</v>
      </c>
    </row>
    <row r="224" spans="2:3">
      <c r="B224" s="256" t="s">
        <v>1399</v>
      </c>
      <c r="C224" s="271" t="s">
        <v>1354</v>
      </c>
    </row>
    <row r="225" spans="2:3">
      <c r="B225" s="256"/>
      <c r="C225" s="27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AE122"/>
  <sheetViews>
    <sheetView showGridLines="0" zoomScale="80" zoomScaleNormal="80" workbookViewId="0">
      <selection activeCell="D2" sqref="D2"/>
    </sheetView>
  </sheetViews>
  <sheetFormatPr defaultColWidth="8.8671875" defaultRowHeight="16.25"/>
  <cols>
    <col min="1" max="1" width="22.21484375" style="57" bestFit="1" customWidth="1"/>
    <col min="2" max="2" width="43.78125" style="57" bestFit="1" customWidth="1"/>
    <col min="3" max="3" width="45.21484375" style="57" bestFit="1" customWidth="1"/>
    <col min="4" max="4" width="25.78125" style="57" bestFit="1" customWidth="1"/>
    <col min="5" max="5" width="43.43359375" style="57" bestFit="1" customWidth="1"/>
    <col min="6" max="6" width="21.34765625" style="57" bestFit="1" customWidth="1"/>
    <col min="7" max="7" width="14.78125" style="57" bestFit="1" customWidth="1"/>
    <col min="8" max="8" width="28.21484375" style="57" bestFit="1" customWidth="1"/>
    <col min="9" max="9" width="24.0859375" style="57" bestFit="1" customWidth="1"/>
    <col min="10" max="10" width="8.8671875" style="57"/>
    <col min="11" max="11" width="9" style="57" bestFit="1" customWidth="1"/>
    <col min="12" max="12" width="26.43359375" style="57" bestFit="1" customWidth="1"/>
    <col min="13" max="13" width="35.6484375" style="57" bestFit="1" customWidth="1"/>
    <col min="14" max="14" width="8.0859375" style="57" bestFit="1" customWidth="1"/>
    <col min="15" max="15" width="13.34765625" style="67" bestFit="1" customWidth="1"/>
    <col min="16" max="16" width="8.8671875" style="57"/>
    <col min="17" max="17" width="25.34765625" style="57" bestFit="1" customWidth="1"/>
    <col min="18" max="18" width="8.8671875" style="57"/>
    <col min="19" max="19" width="9.6484375" style="57" bestFit="1" customWidth="1"/>
    <col min="20" max="21" width="11.78125" style="57" customWidth="1"/>
    <col min="22" max="23" width="5.21484375" style="57" bestFit="1" customWidth="1"/>
    <col min="24" max="24" width="11.0859375" style="57" customWidth="1"/>
    <col min="25" max="25" width="2.0859375" style="57" customWidth="1"/>
    <col min="26" max="26" width="10.34765625" style="70" customWidth="1"/>
    <col min="27" max="27" width="19.6484375" style="70" customWidth="1"/>
    <col min="28" max="28" width="8.8671875" style="70"/>
    <col min="29" max="29" width="8.8671875" style="57"/>
    <col min="30" max="30" width="20.21484375" style="57" customWidth="1"/>
    <col min="31" max="31" width="12.21484375" style="70" customWidth="1"/>
    <col min="32" max="16384" width="8.8671875" style="57"/>
  </cols>
  <sheetData>
    <row r="1" spans="1:31" ht="27.25" thickBot="1">
      <c r="H1" s="96" t="s">
        <v>120</v>
      </c>
      <c r="K1" s="345" t="s">
        <v>162</v>
      </c>
      <c r="L1" s="345"/>
      <c r="M1" s="343"/>
      <c r="N1" s="96"/>
      <c r="O1" s="97"/>
      <c r="S1" s="98" t="s">
        <v>175</v>
      </c>
      <c r="T1" s="98"/>
      <c r="U1" s="98"/>
      <c r="V1" s="98"/>
      <c r="W1" s="98"/>
      <c r="X1" s="98"/>
      <c r="Z1" s="96" t="s">
        <v>485</v>
      </c>
      <c r="AA1" s="96" t="s">
        <v>492</v>
      </c>
      <c r="AB1" s="111" t="s">
        <v>771</v>
      </c>
      <c r="AC1" s="111" t="s">
        <v>774</v>
      </c>
      <c r="AD1" s="99" t="s">
        <v>778</v>
      </c>
      <c r="AE1" s="58"/>
    </row>
    <row r="2" spans="1:31" ht="27" customHeight="1" thickBot="1">
      <c r="A2" s="99" t="s">
        <v>439</v>
      </c>
      <c r="B2" s="96" t="s">
        <v>441</v>
      </c>
      <c r="C2" s="100" t="s">
        <v>651</v>
      </c>
      <c r="D2" s="96" t="s">
        <v>748</v>
      </c>
      <c r="E2" s="101" t="s">
        <v>749</v>
      </c>
      <c r="F2" s="58" t="s">
        <v>140</v>
      </c>
      <c r="G2" s="59" t="s">
        <v>196</v>
      </c>
      <c r="H2" s="96" t="s">
        <v>489</v>
      </c>
      <c r="I2" s="96" t="s">
        <v>121</v>
      </c>
      <c r="K2" s="60" t="s">
        <v>101</v>
      </c>
      <c r="L2" s="61" t="s">
        <v>102</v>
      </c>
      <c r="M2" s="61" t="s">
        <v>103</v>
      </c>
      <c r="N2" s="61" t="s">
        <v>198</v>
      </c>
      <c r="O2" s="62" t="s">
        <v>241</v>
      </c>
      <c r="Q2" s="96" t="s">
        <v>149</v>
      </c>
      <c r="S2" s="343" t="s">
        <v>163</v>
      </c>
      <c r="T2" s="102" t="s">
        <v>482</v>
      </c>
      <c r="U2" s="103"/>
      <c r="V2" s="98" t="s">
        <v>483</v>
      </c>
      <c r="W2" s="98"/>
      <c r="X2" s="343" t="s">
        <v>484</v>
      </c>
      <c r="Z2" s="58">
        <v>2</v>
      </c>
      <c r="AA2" s="63" t="s">
        <v>739</v>
      </c>
      <c r="AB2" s="58" t="s">
        <v>772</v>
      </c>
      <c r="AC2" s="16" t="s">
        <v>717</v>
      </c>
      <c r="AD2" s="130" t="s">
        <v>782</v>
      </c>
      <c r="AE2" s="58" t="s">
        <v>827</v>
      </c>
    </row>
    <row r="3" spans="1:31" ht="16.2" customHeight="1">
      <c r="A3" s="64" t="s">
        <v>99</v>
      </c>
      <c r="B3" s="66" t="s">
        <v>481</v>
      </c>
      <c r="C3" s="95" t="s">
        <v>0</v>
      </c>
      <c r="D3" s="66" t="s">
        <v>1</v>
      </c>
      <c r="E3" s="66" t="s">
        <v>2</v>
      </c>
      <c r="F3" s="346" t="s">
        <v>1</v>
      </c>
      <c r="G3" s="59" t="s">
        <v>197</v>
      </c>
      <c r="H3" s="66" t="s">
        <v>214</v>
      </c>
      <c r="I3" s="59" t="s">
        <v>487</v>
      </c>
      <c r="K3" s="60">
        <v>1</v>
      </c>
      <c r="L3" s="104" t="s">
        <v>104</v>
      </c>
      <c r="M3" s="61"/>
      <c r="N3" s="59" t="s">
        <v>248</v>
      </c>
      <c r="O3" s="59" t="s">
        <v>242</v>
      </c>
      <c r="Q3" s="53" t="s">
        <v>157</v>
      </c>
      <c r="S3" s="344"/>
      <c r="T3" s="96" t="s">
        <v>176</v>
      </c>
      <c r="U3" s="96" t="s">
        <v>177</v>
      </c>
      <c r="V3" s="98"/>
      <c r="W3" s="98"/>
      <c r="X3" s="344"/>
      <c r="Z3" s="58">
        <v>3</v>
      </c>
      <c r="AA3" s="63" t="s">
        <v>740</v>
      </c>
      <c r="AB3" s="58" t="s">
        <v>773</v>
      </c>
      <c r="AC3" s="16" t="s">
        <v>720</v>
      </c>
      <c r="AD3" s="130" t="s">
        <v>781</v>
      </c>
      <c r="AE3" s="58" t="s">
        <v>816</v>
      </c>
    </row>
    <row r="4" spans="1:31" ht="16.2" customHeight="1">
      <c r="A4" s="64" t="s">
        <v>743</v>
      </c>
      <c r="B4" s="66" t="s">
        <v>480</v>
      </c>
      <c r="C4" s="95" t="s">
        <v>3</v>
      </c>
      <c r="D4" s="66" t="s">
        <v>655</v>
      </c>
      <c r="E4" s="66" t="s">
        <v>4</v>
      </c>
      <c r="F4" s="347"/>
      <c r="H4" s="66" t="s">
        <v>215</v>
      </c>
      <c r="I4" s="59" t="s">
        <v>490</v>
      </c>
      <c r="K4" s="60">
        <v>2</v>
      </c>
      <c r="L4" s="104" t="s">
        <v>113</v>
      </c>
      <c r="M4" s="61"/>
      <c r="N4" s="59" t="s">
        <v>248</v>
      </c>
      <c r="O4" s="59" t="s">
        <v>243</v>
      </c>
      <c r="Q4" s="53" t="s">
        <v>159</v>
      </c>
      <c r="S4" s="53" t="s">
        <v>164</v>
      </c>
      <c r="T4" s="60">
        <v>430</v>
      </c>
      <c r="U4" s="60">
        <v>350</v>
      </c>
      <c r="V4" s="53">
        <v>210</v>
      </c>
      <c r="W4" s="53">
        <v>270</v>
      </c>
      <c r="X4" s="60">
        <v>250</v>
      </c>
      <c r="Z4" s="58">
        <v>4</v>
      </c>
      <c r="AA4" s="63" t="s">
        <v>741</v>
      </c>
      <c r="AC4" s="16" t="s">
        <v>722</v>
      </c>
      <c r="AD4" s="130" t="s">
        <v>780</v>
      </c>
      <c r="AE4" s="58" t="s">
        <v>817</v>
      </c>
    </row>
    <row r="5" spans="1:31" ht="16.2" customHeight="1">
      <c r="A5" s="64" t="s">
        <v>194</v>
      </c>
      <c r="B5" s="66" t="s">
        <v>479</v>
      </c>
      <c r="C5" s="95" t="s">
        <v>5</v>
      </c>
      <c r="D5" s="66" t="s">
        <v>6</v>
      </c>
      <c r="E5" s="72" t="s">
        <v>1259</v>
      </c>
      <c r="F5" s="347"/>
      <c r="H5" s="66" t="s">
        <v>216</v>
      </c>
      <c r="I5" s="59" t="s">
        <v>491</v>
      </c>
      <c r="K5" s="60">
        <v>3</v>
      </c>
      <c r="L5" s="105" t="s">
        <v>105</v>
      </c>
      <c r="M5" s="61" t="s">
        <v>106</v>
      </c>
      <c r="N5" s="59" t="s">
        <v>248</v>
      </c>
      <c r="O5" s="59" t="s">
        <v>244</v>
      </c>
      <c r="Q5" s="53" t="s">
        <v>156</v>
      </c>
      <c r="S5" s="53" t="s">
        <v>165</v>
      </c>
      <c r="T5" s="60">
        <v>480</v>
      </c>
      <c r="U5" s="60">
        <v>400</v>
      </c>
      <c r="V5" s="53">
        <v>230</v>
      </c>
      <c r="W5" s="53">
        <v>300</v>
      </c>
      <c r="X5" s="60">
        <v>280</v>
      </c>
      <c r="Z5" s="58">
        <v>5</v>
      </c>
      <c r="AA5" s="63"/>
      <c r="AC5" s="16" t="s">
        <v>723</v>
      </c>
      <c r="AD5" s="130" t="s">
        <v>779</v>
      </c>
      <c r="AE5" s="58" t="s">
        <v>818</v>
      </c>
    </row>
    <row r="6" spans="1:31" ht="16.2" customHeight="1" thickBot="1">
      <c r="A6" s="64" t="s">
        <v>440</v>
      </c>
      <c r="B6" s="66" t="s">
        <v>478</v>
      </c>
      <c r="C6" s="95" t="s">
        <v>7</v>
      </c>
      <c r="D6" s="72" t="s">
        <v>836</v>
      </c>
      <c r="E6" s="72" t="s">
        <v>1068</v>
      </c>
      <c r="F6" s="347"/>
      <c r="H6" s="66" t="s">
        <v>217</v>
      </c>
      <c r="I6" s="66" t="s">
        <v>621</v>
      </c>
      <c r="K6" s="60">
        <v>4</v>
      </c>
      <c r="L6" s="105" t="s">
        <v>107</v>
      </c>
      <c r="M6" s="61" t="s">
        <v>108</v>
      </c>
      <c r="N6" s="59" t="s">
        <v>248</v>
      </c>
      <c r="O6" s="59" t="s">
        <v>243</v>
      </c>
      <c r="Q6" s="53" t="s">
        <v>158</v>
      </c>
      <c r="S6" s="53" t="s">
        <v>166</v>
      </c>
      <c r="T6" s="60">
        <v>560</v>
      </c>
      <c r="U6" s="60">
        <v>460</v>
      </c>
      <c r="V6" s="53">
        <v>250</v>
      </c>
      <c r="W6" s="53">
        <v>330</v>
      </c>
      <c r="X6" s="60">
        <v>310</v>
      </c>
      <c r="Z6" s="58">
        <v>6</v>
      </c>
      <c r="AA6" s="63"/>
      <c r="AC6" s="17" t="s">
        <v>726</v>
      </c>
      <c r="AE6" s="58" t="s">
        <v>819</v>
      </c>
    </row>
    <row r="7" spans="1:31" ht="16.2" customHeight="1">
      <c r="A7" s="94" t="s">
        <v>746</v>
      </c>
      <c r="B7" s="59" t="s">
        <v>10</v>
      </c>
      <c r="C7" s="95" t="s">
        <v>9</v>
      </c>
      <c r="D7" s="72" t="s">
        <v>1088</v>
      </c>
      <c r="E7" s="72" t="s">
        <v>1070</v>
      </c>
      <c r="F7" s="347"/>
      <c r="H7" s="66" t="s">
        <v>218</v>
      </c>
      <c r="I7" s="59" t="s">
        <v>488</v>
      </c>
      <c r="K7" s="60">
        <v>5</v>
      </c>
      <c r="L7" s="105" t="s">
        <v>116</v>
      </c>
      <c r="M7" s="61"/>
      <c r="N7" s="59" t="s">
        <v>248</v>
      </c>
      <c r="O7" s="59" t="s">
        <v>242</v>
      </c>
      <c r="Q7" s="53" t="s">
        <v>160</v>
      </c>
      <c r="S7" s="53" t="s">
        <v>167</v>
      </c>
      <c r="T7" s="60">
        <v>550</v>
      </c>
      <c r="U7" s="60">
        <v>500</v>
      </c>
      <c r="V7" s="53">
        <v>260</v>
      </c>
      <c r="W7" s="53">
        <v>350</v>
      </c>
      <c r="X7" s="60">
        <v>348</v>
      </c>
      <c r="Z7" s="58">
        <v>7</v>
      </c>
      <c r="AA7" s="59"/>
      <c r="AE7" s="58" t="s">
        <v>820</v>
      </c>
    </row>
    <row r="8" spans="1:31" ht="16.2" customHeight="1">
      <c r="A8" s="64" t="s">
        <v>709</v>
      </c>
      <c r="B8" s="59" t="s">
        <v>477</v>
      </c>
      <c r="C8" s="93"/>
      <c r="D8" s="66" t="s">
        <v>9</v>
      </c>
      <c r="E8" s="72" t="s">
        <v>1071</v>
      </c>
      <c r="F8" s="347"/>
      <c r="H8" s="66" t="s">
        <v>222</v>
      </c>
      <c r="I8" s="59"/>
      <c r="K8" s="60">
        <v>6</v>
      </c>
      <c r="L8" s="104" t="s">
        <v>109</v>
      </c>
      <c r="M8" s="61"/>
      <c r="N8" s="59" t="s">
        <v>249</v>
      </c>
      <c r="O8" s="59" t="s">
        <v>245</v>
      </c>
      <c r="Q8" s="53" t="s">
        <v>161</v>
      </c>
      <c r="S8" s="53" t="s">
        <v>168</v>
      </c>
      <c r="T8" s="60">
        <v>720</v>
      </c>
      <c r="U8" s="60">
        <v>580</v>
      </c>
      <c r="V8" s="53">
        <v>300</v>
      </c>
      <c r="W8" s="53">
        <v>400</v>
      </c>
      <c r="X8" s="60">
        <v>380</v>
      </c>
      <c r="Z8" s="58">
        <v>8</v>
      </c>
      <c r="AA8" s="63"/>
      <c r="AE8" s="58" t="s">
        <v>821</v>
      </c>
    </row>
    <row r="9" spans="1:31" ht="16.2" customHeight="1">
      <c r="A9" s="94" t="s">
        <v>744</v>
      </c>
      <c r="B9" s="59" t="s">
        <v>186</v>
      </c>
      <c r="D9" s="66" t="s">
        <v>5</v>
      </c>
      <c r="E9" s="66" t="s">
        <v>696</v>
      </c>
      <c r="F9" s="347"/>
      <c r="H9" s="66" t="s">
        <v>219</v>
      </c>
      <c r="K9" s="60">
        <v>7</v>
      </c>
      <c r="L9" s="104" t="s">
        <v>117</v>
      </c>
      <c r="M9" s="61"/>
      <c r="N9" s="59" t="s">
        <v>249</v>
      </c>
      <c r="O9" s="59" t="s">
        <v>245</v>
      </c>
      <c r="S9" s="53" t="s">
        <v>169</v>
      </c>
      <c r="T9" s="60">
        <v>1200</v>
      </c>
      <c r="U9" s="60">
        <v>800</v>
      </c>
      <c r="V9" s="53">
        <v>270</v>
      </c>
      <c r="W9" s="53">
        <v>380</v>
      </c>
      <c r="X9" s="60">
        <v>360</v>
      </c>
      <c r="Z9" s="58">
        <v>9</v>
      </c>
      <c r="AA9" s="67"/>
      <c r="AE9" s="58" t="s">
        <v>822</v>
      </c>
    </row>
    <row r="10" spans="1:31" ht="16.2" customHeight="1">
      <c r="A10" s="94" t="s">
        <v>745</v>
      </c>
      <c r="B10" s="59" t="s">
        <v>476</v>
      </c>
      <c r="D10" s="66"/>
      <c r="E10" s="72" t="s">
        <v>1069</v>
      </c>
      <c r="F10" s="347"/>
      <c r="H10" s="66" t="s">
        <v>221</v>
      </c>
      <c r="K10" s="60">
        <v>8</v>
      </c>
      <c r="L10" s="106" t="s">
        <v>110</v>
      </c>
      <c r="M10" s="61" t="s">
        <v>111</v>
      </c>
      <c r="N10" s="59" t="s">
        <v>250</v>
      </c>
      <c r="O10" s="59" t="s">
        <v>246</v>
      </c>
      <c r="S10" s="53" t="s">
        <v>170</v>
      </c>
      <c r="T10" s="60">
        <v>2100</v>
      </c>
      <c r="U10" s="60">
        <v>700</v>
      </c>
      <c r="V10" s="53">
        <v>430</v>
      </c>
      <c r="W10" s="53">
        <v>550</v>
      </c>
      <c r="X10" s="60">
        <v>530</v>
      </c>
      <c r="Z10" s="58">
        <v>10</v>
      </c>
      <c r="AA10" s="67"/>
      <c r="AE10" s="58" t="s">
        <v>823</v>
      </c>
    </row>
    <row r="11" spans="1:31" ht="16.2" customHeight="1">
      <c r="A11" s="65" t="s">
        <v>1063</v>
      </c>
      <c r="B11" s="59" t="s">
        <v>475</v>
      </c>
      <c r="E11" s="72" t="s">
        <v>1072</v>
      </c>
      <c r="F11" s="347"/>
      <c r="H11" s="66" t="s">
        <v>220</v>
      </c>
      <c r="K11" s="60">
        <v>9</v>
      </c>
      <c r="L11" s="104" t="s">
        <v>114</v>
      </c>
      <c r="M11" s="61" t="s">
        <v>213</v>
      </c>
      <c r="N11" s="59" t="s">
        <v>250</v>
      </c>
      <c r="O11" s="59" t="s">
        <v>247</v>
      </c>
      <c r="S11" s="53" t="s">
        <v>171</v>
      </c>
      <c r="T11" s="60">
        <v>3000</v>
      </c>
      <c r="U11" s="60">
        <v>1200</v>
      </c>
      <c r="V11" s="53">
        <v>250</v>
      </c>
      <c r="W11" s="53">
        <v>500</v>
      </c>
      <c r="X11" s="60">
        <v>480</v>
      </c>
      <c r="Z11" s="58">
        <v>11</v>
      </c>
      <c r="AA11" s="67"/>
      <c r="AE11" s="58" t="s">
        <v>824</v>
      </c>
    </row>
    <row r="12" spans="1:31" ht="16.2" customHeight="1">
      <c r="A12" s="65" t="s">
        <v>760</v>
      </c>
      <c r="B12" s="59" t="s">
        <v>654</v>
      </c>
      <c r="E12" s="66" t="s">
        <v>14</v>
      </c>
      <c r="F12" s="347"/>
      <c r="H12" s="66" t="s">
        <v>486</v>
      </c>
      <c r="K12" s="60">
        <v>10</v>
      </c>
      <c r="L12" s="104" t="s">
        <v>115</v>
      </c>
      <c r="M12" s="68" t="s">
        <v>112</v>
      </c>
      <c r="N12" s="59" t="s">
        <v>249</v>
      </c>
      <c r="O12" s="59" t="s">
        <v>247</v>
      </c>
      <c r="S12" s="53" t="s">
        <v>172</v>
      </c>
      <c r="T12" s="60">
        <v>4000</v>
      </c>
      <c r="U12" s="60">
        <v>1400</v>
      </c>
      <c r="V12" s="53">
        <v>500</v>
      </c>
      <c r="W12" s="53">
        <v>700</v>
      </c>
      <c r="X12" s="60">
        <v>680</v>
      </c>
      <c r="Z12" s="58"/>
      <c r="AA12" s="67"/>
      <c r="AE12" s="58" t="s">
        <v>825</v>
      </c>
    </row>
    <row r="13" spans="1:31" ht="16.2" customHeight="1">
      <c r="A13" s="94" t="s">
        <v>747</v>
      </c>
      <c r="B13" s="59"/>
      <c r="E13" s="66" t="s">
        <v>15</v>
      </c>
      <c r="F13" s="347"/>
      <c r="H13" s="66" t="s">
        <v>620</v>
      </c>
      <c r="K13" s="107"/>
      <c r="L13" s="69"/>
      <c r="M13" s="69"/>
      <c r="N13" s="69"/>
      <c r="O13" s="59"/>
      <c r="S13" s="53" t="s">
        <v>173</v>
      </c>
      <c r="T13" s="60">
        <v>4300</v>
      </c>
      <c r="U13" s="60">
        <v>1550</v>
      </c>
      <c r="V13" s="53">
        <v>700</v>
      </c>
      <c r="W13" s="53">
        <v>745</v>
      </c>
      <c r="X13" s="60">
        <v>680</v>
      </c>
      <c r="AA13" s="67"/>
      <c r="AE13" s="58" t="s">
        <v>826</v>
      </c>
    </row>
    <row r="14" spans="1:31" ht="16.2" customHeight="1">
      <c r="B14" s="96" t="s">
        <v>460</v>
      </c>
      <c r="D14" s="94" t="s">
        <v>815</v>
      </c>
      <c r="E14" s="66" t="s">
        <v>16</v>
      </c>
      <c r="F14" s="347"/>
      <c r="H14" s="66" t="s">
        <v>619</v>
      </c>
      <c r="K14" s="107"/>
      <c r="L14" s="69"/>
      <c r="M14" s="69"/>
      <c r="N14" s="69"/>
      <c r="O14" s="59"/>
      <c r="S14" s="53"/>
      <c r="T14" s="60"/>
      <c r="U14" s="60"/>
      <c r="V14" s="53"/>
      <c r="W14" s="53"/>
      <c r="X14" s="60"/>
    </row>
    <row r="15" spans="1:31" ht="16.2" customHeight="1">
      <c r="B15" s="71" t="s">
        <v>442</v>
      </c>
      <c r="D15" s="94" t="s">
        <v>12</v>
      </c>
      <c r="E15" s="72" t="s">
        <v>1073</v>
      </c>
      <c r="F15" s="347"/>
      <c r="H15" s="66"/>
      <c r="K15" s="107"/>
      <c r="L15" s="69"/>
      <c r="M15" s="69"/>
      <c r="N15" s="69"/>
      <c r="O15" s="59"/>
      <c r="S15" s="53"/>
      <c r="T15" s="60"/>
      <c r="U15" s="60"/>
      <c r="V15" s="53"/>
      <c r="W15" s="53"/>
      <c r="X15" s="60"/>
    </row>
    <row r="16" spans="1:31" ht="16.2" customHeight="1">
      <c r="B16" s="71" t="s">
        <v>443</v>
      </c>
      <c r="E16" s="72" t="s">
        <v>1065</v>
      </c>
      <c r="F16" s="347"/>
      <c r="H16" s="72" t="s">
        <v>501</v>
      </c>
      <c r="K16" s="107"/>
      <c r="L16" s="69"/>
      <c r="M16" s="69"/>
      <c r="N16" s="69"/>
      <c r="O16" s="59"/>
      <c r="S16" s="53"/>
      <c r="T16" s="60"/>
      <c r="U16" s="60"/>
      <c r="V16" s="53"/>
      <c r="W16" s="53"/>
      <c r="X16" s="60"/>
    </row>
    <row r="17" spans="2:24" ht="16.2" customHeight="1">
      <c r="B17" s="71" t="s">
        <v>444</v>
      </c>
      <c r="E17" s="72" t="s">
        <v>1074</v>
      </c>
      <c r="F17" s="347"/>
      <c r="H17" s="72" t="s">
        <v>502</v>
      </c>
      <c r="K17" s="107"/>
      <c r="L17" s="69"/>
      <c r="M17" s="69"/>
      <c r="N17" s="69"/>
      <c r="O17" s="59"/>
      <c r="S17" s="53"/>
      <c r="T17" s="60"/>
      <c r="U17" s="60"/>
      <c r="V17" s="53"/>
      <c r="W17" s="53"/>
      <c r="X17" s="60"/>
    </row>
    <row r="18" spans="2:24" ht="16.2" customHeight="1">
      <c r="B18" s="71" t="s">
        <v>445</v>
      </c>
      <c r="E18" s="72" t="s">
        <v>1075</v>
      </c>
      <c r="F18" s="347"/>
      <c r="K18" s="107"/>
      <c r="L18" s="69"/>
      <c r="M18" s="69"/>
      <c r="N18" s="69"/>
      <c r="O18" s="59"/>
      <c r="S18" s="53"/>
      <c r="T18" s="60"/>
      <c r="U18" s="60"/>
      <c r="V18" s="53"/>
      <c r="W18" s="53"/>
      <c r="X18" s="60"/>
    </row>
    <row r="19" spans="2:24" ht="16.2" customHeight="1">
      <c r="B19" s="71" t="s">
        <v>446</v>
      </c>
      <c r="E19" s="72" t="s">
        <v>1076</v>
      </c>
      <c r="F19" s="347"/>
      <c r="K19" s="59">
        <v>1</v>
      </c>
      <c r="L19" s="59" t="s">
        <v>200</v>
      </c>
      <c r="M19" s="59"/>
      <c r="N19" s="59" t="s">
        <v>204</v>
      </c>
      <c r="O19" s="59" t="s">
        <v>243</v>
      </c>
      <c r="S19" s="53" t="s">
        <v>174</v>
      </c>
      <c r="T19" s="60">
        <v>5200</v>
      </c>
      <c r="U19" s="60">
        <v>1830</v>
      </c>
      <c r="V19" s="53">
        <v>350</v>
      </c>
      <c r="W19" s="53">
        <v>600</v>
      </c>
      <c r="X19" s="60">
        <v>580</v>
      </c>
    </row>
    <row r="20" spans="2:24" ht="16.2" customHeight="1">
      <c r="B20" s="71" t="s">
        <v>187</v>
      </c>
      <c r="E20" s="66"/>
      <c r="F20" s="348"/>
      <c r="K20" s="59">
        <v>2</v>
      </c>
      <c r="L20" s="59" t="s">
        <v>199</v>
      </c>
      <c r="M20" s="59"/>
      <c r="N20" s="59" t="s">
        <v>205</v>
      </c>
      <c r="O20" s="59" t="s">
        <v>244</v>
      </c>
    </row>
    <row r="21" spans="2:24" ht="16.2" customHeight="1">
      <c r="B21" s="73" t="s">
        <v>447</v>
      </c>
      <c r="E21" s="72" t="s">
        <v>1062</v>
      </c>
      <c r="F21" s="346" t="s">
        <v>632</v>
      </c>
      <c r="K21" s="59">
        <v>3</v>
      </c>
      <c r="L21" s="59" t="s">
        <v>201</v>
      </c>
      <c r="M21" s="59"/>
      <c r="N21" s="59" t="s">
        <v>205</v>
      </c>
      <c r="O21" s="59" t="s">
        <v>244</v>
      </c>
    </row>
    <row r="22" spans="2:24" ht="16.2" customHeight="1">
      <c r="B22" s="71" t="s">
        <v>448</v>
      </c>
      <c r="E22" s="66" t="s">
        <v>1066</v>
      </c>
      <c r="F22" s="355"/>
      <c r="K22" s="59">
        <v>4</v>
      </c>
      <c r="L22" s="59" t="s">
        <v>202</v>
      </c>
      <c r="M22" s="59"/>
      <c r="N22" s="59" t="s">
        <v>205</v>
      </c>
      <c r="O22" s="59" t="s">
        <v>242</v>
      </c>
    </row>
    <row r="23" spans="2:24" ht="16.2" customHeight="1">
      <c r="B23" s="73" t="s">
        <v>449</v>
      </c>
      <c r="E23" s="66" t="s">
        <v>633</v>
      </c>
      <c r="F23" s="355"/>
      <c r="K23" s="59">
        <v>5</v>
      </c>
      <c r="L23" s="59" t="s">
        <v>207</v>
      </c>
      <c r="M23" s="59"/>
      <c r="N23" s="59" t="s">
        <v>205</v>
      </c>
      <c r="O23" s="59" t="s">
        <v>247</v>
      </c>
    </row>
    <row r="24" spans="2:24" ht="16.2" customHeight="1">
      <c r="B24" s="71" t="s">
        <v>450</v>
      </c>
      <c r="E24" s="66" t="s">
        <v>634</v>
      </c>
      <c r="F24" s="355"/>
      <c r="K24" s="59">
        <v>6</v>
      </c>
      <c r="L24" s="59" t="s">
        <v>203</v>
      </c>
      <c r="M24" s="59"/>
      <c r="N24" s="59" t="s">
        <v>205</v>
      </c>
      <c r="O24" s="59"/>
    </row>
    <row r="25" spans="2:24" ht="16.2" customHeight="1">
      <c r="B25" s="71" t="s">
        <v>451</v>
      </c>
      <c r="E25" s="72" t="s">
        <v>672</v>
      </c>
      <c r="F25" s="355"/>
      <c r="K25" s="59">
        <v>7</v>
      </c>
      <c r="L25" s="59" t="s">
        <v>208</v>
      </c>
      <c r="M25" s="59" t="s">
        <v>206</v>
      </c>
      <c r="N25" s="59" t="s">
        <v>226</v>
      </c>
      <c r="O25" s="59" t="s">
        <v>246</v>
      </c>
    </row>
    <row r="26" spans="2:24" ht="16.2" customHeight="1">
      <c r="B26" s="71" t="s">
        <v>452</v>
      </c>
      <c r="E26" s="186" t="s">
        <v>673</v>
      </c>
      <c r="F26" s="355"/>
      <c r="K26" s="59">
        <v>8</v>
      </c>
      <c r="L26" s="59" t="s">
        <v>209</v>
      </c>
      <c r="M26" s="59"/>
      <c r="N26" s="59" t="s">
        <v>226</v>
      </c>
      <c r="O26" s="59" t="s">
        <v>247</v>
      </c>
    </row>
    <row r="27" spans="2:24" ht="16.2" customHeight="1">
      <c r="B27" s="71" t="s">
        <v>453</v>
      </c>
      <c r="E27" s="186" t="s">
        <v>674</v>
      </c>
      <c r="F27" s="355"/>
      <c r="K27" s="59">
        <v>9</v>
      </c>
      <c r="L27" s="59" t="s">
        <v>210</v>
      </c>
      <c r="M27" s="59"/>
      <c r="N27" s="59" t="s">
        <v>227</v>
      </c>
      <c r="O27" s="59" t="s">
        <v>243</v>
      </c>
      <c r="Q27" s="57" t="s">
        <v>206</v>
      </c>
    </row>
    <row r="28" spans="2:24" ht="16.2" customHeight="1">
      <c r="B28" s="71" t="s">
        <v>454</v>
      </c>
      <c r="E28" s="66" t="s">
        <v>635</v>
      </c>
      <c r="F28" s="355"/>
      <c r="K28" s="59">
        <v>10</v>
      </c>
      <c r="L28" s="59" t="s">
        <v>211</v>
      </c>
      <c r="M28" s="59"/>
      <c r="N28" s="59" t="s">
        <v>228</v>
      </c>
      <c r="O28" s="59" t="s">
        <v>245</v>
      </c>
    </row>
    <row r="29" spans="2:24" ht="16.2" customHeight="1">
      <c r="B29" s="74" t="s">
        <v>455</v>
      </c>
      <c r="E29" s="66" t="s">
        <v>53</v>
      </c>
      <c r="F29" s="355"/>
      <c r="K29" s="59">
        <v>11</v>
      </c>
      <c r="L29" s="59" t="s">
        <v>212</v>
      </c>
      <c r="M29" s="59"/>
      <c r="N29" s="59" t="s">
        <v>228</v>
      </c>
      <c r="O29" s="59" t="s">
        <v>245</v>
      </c>
    </row>
    <row r="30" spans="2:24" ht="16.2" customHeight="1">
      <c r="B30" s="74" t="s">
        <v>456</v>
      </c>
      <c r="E30" s="186" t="s">
        <v>675</v>
      </c>
      <c r="F30" s="355"/>
    </row>
    <row r="31" spans="2:24" ht="16.2" customHeight="1">
      <c r="B31" s="71" t="s">
        <v>457</v>
      </c>
      <c r="E31" s="72" t="s">
        <v>676</v>
      </c>
      <c r="F31" s="355"/>
    </row>
    <row r="32" spans="2:24" ht="16.2" customHeight="1">
      <c r="B32" s="74" t="s">
        <v>458</v>
      </c>
      <c r="E32" s="72" t="s">
        <v>677</v>
      </c>
      <c r="F32" s="355"/>
    </row>
    <row r="33" spans="2:6" ht="16.2" customHeight="1">
      <c r="B33" s="74" t="s">
        <v>459</v>
      </c>
      <c r="E33" s="186" t="s">
        <v>678</v>
      </c>
      <c r="F33" s="355"/>
    </row>
    <row r="34" spans="2:6" ht="16.2" customHeight="1">
      <c r="B34" s="59" t="s">
        <v>475</v>
      </c>
      <c r="E34" s="186" t="s">
        <v>679</v>
      </c>
      <c r="F34" s="355"/>
    </row>
    <row r="35" spans="2:6" ht="16.2" customHeight="1">
      <c r="B35" s="59" t="s">
        <v>654</v>
      </c>
      <c r="E35" s="212" t="s">
        <v>1156</v>
      </c>
      <c r="F35" s="355"/>
    </row>
    <row r="36" spans="2:6" ht="16.2" customHeight="1">
      <c r="B36" s="59"/>
      <c r="E36" s="213" t="s">
        <v>1157</v>
      </c>
      <c r="F36" s="355"/>
    </row>
    <row r="37" spans="2:6" ht="27" customHeight="1">
      <c r="B37" s="96" t="s">
        <v>461</v>
      </c>
      <c r="E37" s="186" t="s">
        <v>1067</v>
      </c>
      <c r="F37" s="355"/>
    </row>
    <row r="38" spans="2:6" ht="16.2" customHeight="1">
      <c r="B38" s="71" t="s">
        <v>446</v>
      </c>
      <c r="C38" s="75"/>
      <c r="E38" s="66" t="s">
        <v>636</v>
      </c>
      <c r="F38" s="355"/>
    </row>
    <row r="39" spans="2:6" ht="16.2" customHeight="1">
      <c r="B39" s="71" t="s">
        <v>503</v>
      </c>
      <c r="C39" s="75"/>
      <c r="E39" s="72" t="s">
        <v>697</v>
      </c>
      <c r="F39" s="355"/>
    </row>
    <row r="40" spans="2:6" ht="16.2" customHeight="1">
      <c r="B40" s="71" t="s">
        <v>467</v>
      </c>
      <c r="C40" s="75"/>
      <c r="E40" s="66" t="s">
        <v>637</v>
      </c>
      <c r="F40" s="355"/>
    </row>
    <row r="41" spans="2:6" ht="16.2" customHeight="1">
      <c r="B41" s="71" t="s">
        <v>504</v>
      </c>
      <c r="C41" s="75"/>
      <c r="E41" s="66" t="s">
        <v>61</v>
      </c>
      <c r="F41" s="355"/>
    </row>
    <row r="42" spans="2:6" ht="16.2" customHeight="1">
      <c r="B42" s="71" t="s">
        <v>505</v>
      </c>
      <c r="C42" s="75"/>
      <c r="E42" s="71" t="s">
        <v>21</v>
      </c>
      <c r="F42" s="355"/>
    </row>
    <row r="43" spans="2:6" ht="16.2" customHeight="1">
      <c r="B43" s="71" t="s">
        <v>506</v>
      </c>
      <c r="C43" s="75"/>
      <c r="E43" s="66" t="s">
        <v>638</v>
      </c>
      <c r="F43" s="355"/>
    </row>
    <row r="44" spans="2:6">
      <c r="B44" s="71" t="s">
        <v>750</v>
      </c>
      <c r="C44" s="75"/>
      <c r="E44" s="66" t="s">
        <v>639</v>
      </c>
      <c r="F44" s="355"/>
    </row>
    <row r="45" spans="2:6" ht="16.2" customHeight="1">
      <c r="B45" s="71" t="s">
        <v>451</v>
      </c>
      <c r="C45" s="75"/>
      <c r="E45" s="72" t="s">
        <v>680</v>
      </c>
      <c r="F45" s="355"/>
    </row>
    <row r="46" spans="2:6">
      <c r="B46" s="71" t="s">
        <v>186</v>
      </c>
      <c r="C46" s="75"/>
      <c r="E46" s="71" t="s">
        <v>640</v>
      </c>
      <c r="F46" s="355"/>
    </row>
    <row r="47" spans="2:6">
      <c r="B47" s="71" t="s">
        <v>507</v>
      </c>
      <c r="C47" s="75"/>
      <c r="E47" s="66" t="s">
        <v>641</v>
      </c>
      <c r="F47" s="355"/>
    </row>
    <row r="48" spans="2:6">
      <c r="B48" s="71" t="s">
        <v>508</v>
      </c>
      <c r="C48" s="108"/>
      <c r="E48" s="66"/>
      <c r="F48" s="356"/>
    </row>
    <row r="49" spans="2:6">
      <c r="B49" s="71" t="s">
        <v>509</v>
      </c>
      <c r="C49" s="108"/>
      <c r="E49" s="66" t="s">
        <v>642</v>
      </c>
      <c r="F49" s="349" t="s">
        <v>6</v>
      </c>
    </row>
    <row r="50" spans="2:6">
      <c r="B50" s="71" t="s">
        <v>510</v>
      </c>
      <c r="C50" s="108"/>
      <c r="E50" s="66" t="s">
        <v>643</v>
      </c>
      <c r="F50" s="350"/>
    </row>
    <row r="51" spans="2:6">
      <c r="B51" s="71" t="s">
        <v>511</v>
      </c>
      <c r="C51" s="108"/>
      <c r="E51" s="72" t="s">
        <v>1077</v>
      </c>
      <c r="F51" s="350"/>
    </row>
    <row r="52" spans="2:6">
      <c r="B52" s="71" t="s">
        <v>512</v>
      </c>
      <c r="C52" s="108"/>
      <c r="E52" s="66" t="s">
        <v>644</v>
      </c>
      <c r="F52" s="350"/>
    </row>
    <row r="53" spans="2:6">
      <c r="B53" s="71" t="s">
        <v>513</v>
      </c>
      <c r="C53" s="108"/>
      <c r="E53" s="72" t="s">
        <v>1078</v>
      </c>
      <c r="F53" s="350"/>
    </row>
    <row r="54" spans="2:6">
      <c r="B54" s="71" t="s">
        <v>514</v>
      </c>
      <c r="C54" s="108"/>
      <c r="E54" s="66" t="s">
        <v>645</v>
      </c>
      <c r="F54" s="350"/>
    </row>
    <row r="55" spans="2:6">
      <c r="B55" s="71" t="s">
        <v>515</v>
      </c>
      <c r="C55" s="108"/>
      <c r="E55" s="66" t="s">
        <v>646</v>
      </c>
      <c r="F55" s="350"/>
    </row>
    <row r="56" spans="2:6">
      <c r="B56" s="74" t="s">
        <v>516</v>
      </c>
      <c r="C56" s="109"/>
      <c r="E56" s="66" t="s">
        <v>647</v>
      </c>
      <c r="F56" s="350"/>
    </row>
    <row r="57" spans="2:6">
      <c r="B57" s="74" t="s">
        <v>517</v>
      </c>
      <c r="C57" s="109"/>
      <c r="E57" s="66" t="s">
        <v>648</v>
      </c>
      <c r="F57" s="350"/>
    </row>
    <row r="58" spans="2:6" ht="16.2" customHeight="1">
      <c r="B58" s="74" t="s">
        <v>518</v>
      </c>
      <c r="C58" s="109"/>
      <c r="E58" s="66" t="s">
        <v>649</v>
      </c>
      <c r="F58" s="350"/>
    </row>
    <row r="59" spans="2:6" ht="16.2" customHeight="1">
      <c r="B59" s="74" t="s">
        <v>455</v>
      </c>
      <c r="C59" s="109"/>
      <c r="E59" s="66" t="s">
        <v>650</v>
      </c>
      <c r="F59" s="350"/>
    </row>
    <row r="60" spans="2:6" ht="16.2" customHeight="1">
      <c r="B60" s="74" t="s">
        <v>519</v>
      </c>
      <c r="C60" s="109"/>
      <c r="E60" s="72" t="s">
        <v>1079</v>
      </c>
      <c r="F60" s="350"/>
    </row>
    <row r="61" spans="2:6" ht="16.2" customHeight="1">
      <c r="B61" s="74" t="s">
        <v>520</v>
      </c>
      <c r="C61" s="109"/>
      <c r="E61" s="72" t="s">
        <v>1080</v>
      </c>
      <c r="F61" s="350"/>
    </row>
    <row r="62" spans="2:6" ht="16.2" customHeight="1">
      <c r="B62" s="74" t="s">
        <v>521</v>
      </c>
      <c r="C62" s="109"/>
      <c r="E62" s="72" t="s">
        <v>1081</v>
      </c>
      <c r="F62" s="350"/>
    </row>
    <row r="63" spans="2:6" ht="16.95" customHeight="1">
      <c r="B63" s="74" t="s">
        <v>599</v>
      </c>
      <c r="E63" s="72" t="s">
        <v>1082</v>
      </c>
      <c r="F63" s="350"/>
    </row>
    <row r="64" spans="2:6" ht="16.2" customHeight="1">
      <c r="B64" s="59" t="s">
        <v>475</v>
      </c>
      <c r="E64" s="66"/>
      <c r="F64" s="351"/>
    </row>
    <row r="65" spans="2:6" ht="16.2" customHeight="1">
      <c r="B65" s="59" t="s">
        <v>654</v>
      </c>
      <c r="E65" s="66" t="s">
        <v>24</v>
      </c>
      <c r="F65" s="346" t="s">
        <v>836</v>
      </c>
    </row>
    <row r="66" spans="2:6" ht="16.2" customHeight="1">
      <c r="B66" s="59"/>
      <c r="E66" s="66" t="s">
        <v>25</v>
      </c>
      <c r="F66" s="347"/>
    </row>
    <row r="67" spans="2:6" ht="27" customHeight="1">
      <c r="B67" s="96" t="s">
        <v>462</v>
      </c>
      <c r="E67" s="66" t="s">
        <v>26</v>
      </c>
      <c r="F67" s="347"/>
    </row>
    <row r="68" spans="2:6" ht="16.2" customHeight="1">
      <c r="B68" s="71" t="s">
        <v>442</v>
      </c>
      <c r="E68" s="66" t="s">
        <v>27</v>
      </c>
      <c r="F68" s="347"/>
    </row>
    <row r="69" spans="2:6" ht="16.2" customHeight="1">
      <c r="B69" s="71" t="s">
        <v>463</v>
      </c>
      <c r="E69" s="66" t="s">
        <v>28</v>
      </c>
      <c r="F69" s="347"/>
    </row>
    <row r="70" spans="2:6" ht="16.95" customHeight="1">
      <c r="B70" s="71" t="s">
        <v>464</v>
      </c>
      <c r="E70" s="66" t="s">
        <v>29</v>
      </c>
      <c r="F70" s="347"/>
    </row>
    <row r="71" spans="2:6">
      <c r="B71" s="71" t="s">
        <v>465</v>
      </c>
      <c r="E71" s="66"/>
      <c r="F71" s="348"/>
    </row>
    <row r="72" spans="2:6" ht="16.2" customHeight="1">
      <c r="B72" s="71" t="s">
        <v>466</v>
      </c>
      <c r="E72" s="66" t="s">
        <v>30</v>
      </c>
      <c r="F72" s="346" t="s">
        <v>141</v>
      </c>
    </row>
    <row r="73" spans="2:6" ht="16.2" customHeight="1">
      <c r="B73" s="71" t="s">
        <v>467</v>
      </c>
      <c r="E73" s="66" t="s">
        <v>21</v>
      </c>
      <c r="F73" s="355"/>
    </row>
    <row r="74" spans="2:6" ht="16.2" customHeight="1">
      <c r="B74" s="71" t="s">
        <v>468</v>
      </c>
      <c r="E74" s="66" t="s">
        <v>31</v>
      </c>
      <c r="F74" s="355"/>
    </row>
    <row r="75" spans="2:6" ht="16.95" customHeight="1">
      <c r="B75" s="71" t="s">
        <v>469</v>
      </c>
      <c r="E75" s="72" t="s">
        <v>1083</v>
      </c>
      <c r="F75" s="355"/>
    </row>
    <row r="76" spans="2:6" ht="16.2" customHeight="1">
      <c r="B76" s="73" t="s">
        <v>470</v>
      </c>
      <c r="E76" s="66" t="s">
        <v>32</v>
      </c>
      <c r="F76" s="355"/>
    </row>
    <row r="77" spans="2:6" ht="16.2" customHeight="1">
      <c r="B77" s="73" t="s">
        <v>471</v>
      </c>
      <c r="E77" s="72" t="s">
        <v>1084</v>
      </c>
      <c r="F77" s="355"/>
    </row>
    <row r="78" spans="2:6" ht="16.2" customHeight="1">
      <c r="B78" s="73" t="s">
        <v>472</v>
      </c>
      <c r="E78" s="66" t="s">
        <v>738</v>
      </c>
      <c r="F78" s="355"/>
    </row>
    <row r="79" spans="2:6" ht="16.2" customHeight="1">
      <c r="B79" s="73" t="s">
        <v>473</v>
      </c>
      <c r="E79" s="66"/>
      <c r="F79" s="356"/>
    </row>
    <row r="80" spans="2:6" ht="16.2" customHeight="1">
      <c r="B80" s="73" t="s">
        <v>474</v>
      </c>
      <c r="E80" s="66" t="s">
        <v>11</v>
      </c>
      <c r="F80" s="58" t="s">
        <v>11</v>
      </c>
    </row>
    <row r="81" spans="2:6" ht="16.2" customHeight="1">
      <c r="B81" s="74" t="s">
        <v>459</v>
      </c>
      <c r="E81" s="66" t="s">
        <v>33</v>
      </c>
      <c r="F81" s="346" t="s">
        <v>12</v>
      </c>
    </row>
    <row r="82" spans="2:6" ht="16.2" customHeight="1">
      <c r="B82" s="59" t="s">
        <v>475</v>
      </c>
      <c r="E82" s="66" t="s">
        <v>34</v>
      </c>
      <c r="F82" s="347"/>
    </row>
    <row r="83" spans="2:6" ht="16.2" customHeight="1">
      <c r="B83" s="59" t="s">
        <v>654</v>
      </c>
      <c r="E83" s="66" t="s">
        <v>35</v>
      </c>
      <c r="F83" s="347"/>
    </row>
    <row r="84" spans="2:6" ht="16.2" customHeight="1">
      <c r="B84" s="66"/>
      <c r="E84" s="65" t="s">
        <v>36</v>
      </c>
      <c r="F84" s="347"/>
    </row>
    <row r="85" spans="2:6" ht="16.2" customHeight="1">
      <c r="B85" s="96" t="s">
        <v>828</v>
      </c>
      <c r="E85" s="65"/>
      <c r="F85" s="348"/>
    </row>
    <row r="86" spans="2:6" ht="16.2" customHeight="1">
      <c r="B86" s="53" t="s">
        <v>759</v>
      </c>
      <c r="E86" s="65" t="s">
        <v>37</v>
      </c>
      <c r="F86" s="352" t="s">
        <v>1088</v>
      </c>
    </row>
    <row r="87" spans="2:6" ht="16.2" customHeight="1">
      <c r="B87" s="110" t="s">
        <v>751</v>
      </c>
      <c r="E87" s="190" t="s">
        <v>1085</v>
      </c>
      <c r="F87" s="353"/>
    </row>
    <row r="88" spans="2:6" ht="16.2" customHeight="1">
      <c r="B88" s="110" t="s">
        <v>752</v>
      </c>
      <c r="E88" s="65" t="s">
        <v>38</v>
      </c>
      <c r="F88" s="353"/>
    </row>
    <row r="89" spans="2:6" ht="16.2" customHeight="1">
      <c r="B89" s="110" t="s">
        <v>753</v>
      </c>
      <c r="E89" s="65" t="s">
        <v>39</v>
      </c>
      <c r="F89" s="353"/>
    </row>
    <row r="90" spans="2:6" ht="16.2" customHeight="1">
      <c r="B90" s="110" t="s">
        <v>754</v>
      </c>
      <c r="E90" s="190" t="s">
        <v>661</v>
      </c>
      <c r="F90" s="353"/>
    </row>
    <row r="91" spans="2:6" ht="16.2" customHeight="1">
      <c r="B91" s="110" t="s">
        <v>755</v>
      </c>
      <c r="E91" s="65" t="s">
        <v>40</v>
      </c>
      <c r="F91" s="353"/>
    </row>
    <row r="92" spans="2:6" ht="16.2" customHeight="1">
      <c r="B92" s="68" t="s">
        <v>756</v>
      </c>
      <c r="E92" s="65" t="s">
        <v>41</v>
      </c>
      <c r="F92" s="353"/>
    </row>
    <row r="93" spans="2:6" ht="16.95" customHeight="1">
      <c r="B93" s="59" t="s">
        <v>757</v>
      </c>
      <c r="E93" s="190" t="s">
        <v>662</v>
      </c>
      <c r="F93" s="353"/>
    </row>
    <row r="94" spans="2:6" ht="16.2" customHeight="1">
      <c r="B94" s="59" t="s">
        <v>758</v>
      </c>
      <c r="E94" s="65" t="s">
        <v>94</v>
      </c>
      <c r="F94" s="353"/>
    </row>
    <row r="95" spans="2:6" ht="16.2" customHeight="1">
      <c r="E95" s="65" t="s">
        <v>42</v>
      </c>
      <c r="F95" s="353"/>
    </row>
    <row r="96" spans="2:6" ht="16.2" customHeight="1">
      <c r="E96" s="65" t="s">
        <v>43</v>
      </c>
      <c r="F96" s="353"/>
    </row>
    <row r="97" spans="5:6" ht="16.2" customHeight="1">
      <c r="E97" s="65" t="s">
        <v>44</v>
      </c>
      <c r="F97" s="353"/>
    </row>
    <row r="98" spans="5:6" ht="16.2" customHeight="1">
      <c r="E98" s="65" t="s">
        <v>45</v>
      </c>
      <c r="F98" s="353"/>
    </row>
    <row r="99" spans="5:6" ht="16.2" customHeight="1">
      <c r="E99" s="190" t="s">
        <v>1086</v>
      </c>
      <c r="F99" s="353"/>
    </row>
    <row r="100" spans="5:6">
      <c r="E100" s="190" t="s">
        <v>663</v>
      </c>
      <c r="F100" s="353"/>
    </row>
    <row r="101" spans="5:6">
      <c r="E101" s="190" t="s">
        <v>664</v>
      </c>
      <c r="F101" s="353"/>
    </row>
    <row r="102" spans="5:6">
      <c r="E102" s="190" t="s">
        <v>665</v>
      </c>
      <c r="F102" s="353"/>
    </row>
    <row r="103" spans="5:6">
      <c r="E103" s="190" t="s">
        <v>666</v>
      </c>
      <c r="F103" s="353"/>
    </row>
    <row r="104" spans="5:6">
      <c r="E104" s="190" t="s">
        <v>735</v>
      </c>
      <c r="F104" s="353"/>
    </row>
    <row r="105" spans="5:6">
      <c r="E105" s="190" t="s">
        <v>734</v>
      </c>
      <c r="F105" s="353"/>
    </row>
    <row r="106" spans="5:6">
      <c r="E106" s="65" t="s">
        <v>731</v>
      </c>
      <c r="F106" s="353"/>
    </row>
    <row r="107" spans="5:6">
      <c r="E107" s="65"/>
      <c r="F107" s="354"/>
    </row>
    <row r="108" spans="5:6">
      <c r="E108" s="65" t="s">
        <v>46</v>
      </c>
      <c r="F108" s="346" t="s">
        <v>5</v>
      </c>
    </row>
    <row r="109" spans="5:6">
      <c r="E109" s="72" t="s">
        <v>1087</v>
      </c>
      <c r="F109" s="347"/>
    </row>
    <row r="110" spans="5:6">
      <c r="E110" s="66" t="s">
        <v>47</v>
      </c>
      <c r="F110" s="347"/>
    </row>
    <row r="111" spans="5:6">
      <c r="E111" s="172" t="s">
        <v>1258</v>
      </c>
      <c r="F111" s="347"/>
    </row>
    <row r="112" spans="5:6">
      <c r="E112" s="72" t="s">
        <v>1260</v>
      </c>
      <c r="F112" s="347"/>
    </row>
    <row r="113" spans="5:27">
      <c r="E113" s="65" t="s">
        <v>48</v>
      </c>
      <c r="F113" s="347"/>
    </row>
    <row r="114" spans="5:27">
      <c r="E114" s="72" t="s">
        <v>1261</v>
      </c>
      <c r="F114" s="347"/>
    </row>
    <row r="115" spans="5:27">
      <c r="E115" s="66"/>
      <c r="F115" s="348"/>
    </row>
    <row r="118" spans="5:27">
      <c r="N118" s="67"/>
      <c r="O118" s="57"/>
      <c r="Y118" s="70"/>
      <c r="AA118" s="57"/>
    </row>
    <row r="119" spans="5:27">
      <c r="N119" s="67"/>
      <c r="O119" s="57"/>
      <c r="Y119" s="70"/>
      <c r="AA119" s="57"/>
    </row>
    <row r="120" spans="5:27">
      <c r="N120" s="67"/>
      <c r="O120" s="57"/>
      <c r="Y120" s="70"/>
      <c r="AA120" s="57"/>
    </row>
    <row r="121" spans="5:27">
      <c r="N121" s="67"/>
      <c r="O121" s="57"/>
      <c r="Y121" s="70"/>
      <c r="AA121" s="57"/>
    </row>
    <row r="122" spans="5:27">
      <c r="N122" s="67"/>
      <c r="O122" s="57"/>
      <c r="Y122" s="70"/>
      <c r="AA122" s="57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7"/>
  <dimension ref="A1:J11"/>
  <sheetViews>
    <sheetView zoomScale="86" zoomScaleNormal="86" workbookViewId="0">
      <selection activeCell="H8" sqref="H8"/>
    </sheetView>
  </sheetViews>
  <sheetFormatPr defaultColWidth="8.8671875" defaultRowHeight="16.25"/>
  <cols>
    <col min="1" max="2" width="8.8671875" style="6"/>
    <col min="3" max="4" width="14.78125" style="6" bestFit="1" customWidth="1"/>
    <col min="5" max="5" width="14.78125" style="6" customWidth="1"/>
    <col min="6" max="6" width="12.0859375" style="6" customWidth="1"/>
    <col min="7" max="7" width="6.8671875" style="6" customWidth="1"/>
    <col min="8" max="8" width="24.21484375" style="6" bestFit="1" customWidth="1"/>
    <col min="9" max="9" width="10.0859375" style="6" bestFit="1" customWidth="1"/>
    <col min="10" max="10" width="21.78125" style="6" bestFit="1" customWidth="1"/>
    <col min="11" max="16384" width="8.8671875" style="6"/>
  </cols>
  <sheetData>
    <row r="1" spans="1:10">
      <c r="A1" s="357" t="s">
        <v>5</v>
      </c>
      <c r="B1" s="358"/>
      <c r="C1" s="358"/>
      <c r="D1" s="358"/>
      <c r="E1" s="358"/>
      <c r="F1" s="358"/>
      <c r="G1" s="358"/>
      <c r="H1" s="358"/>
      <c r="I1" s="358"/>
      <c r="J1" s="358"/>
    </row>
    <row r="2" spans="1:10" ht="26">
      <c r="A2" s="7" t="s">
        <v>95</v>
      </c>
      <c r="B2" s="7" t="s">
        <v>96</v>
      </c>
      <c r="C2" s="7" t="s">
        <v>97</v>
      </c>
      <c r="D2" s="359" t="s">
        <v>148</v>
      </c>
      <c r="E2" s="360"/>
      <c r="F2" s="8" t="s">
        <v>178</v>
      </c>
      <c r="G2" s="9" t="s">
        <v>139</v>
      </c>
      <c r="H2" s="7" t="s">
        <v>147</v>
      </c>
      <c r="I2" s="7" t="s">
        <v>98</v>
      </c>
      <c r="J2" s="7" t="s">
        <v>124</v>
      </c>
    </row>
    <row r="3" spans="1:10">
      <c r="C3" s="6" t="s">
        <v>127</v>
      </c>
      <c r="D3" s="10" t="s">
        <v>144</v>
      </c>
      <c r="E3" s="6" t="s">
        <v>132</v>
      </c>
      <c r="F3" s="11">
        <v>0.1</v>
      </c>
      <c r="G3" s="10"/>
      <c r="H3" s="6" t="s">
        <v>122</v>
      </c>
      <c r="I3" s="6" t="str">
        <f>'Material Spec.'!A5</f>
        <v>SUS304</v>
      </c>
      <c r="J3" s="6" t="s">
        <v>125</v>
      </c>
    </row>
    <row r="4" spans="1:10">
      <c r="C4" s="6" t="s">
        <v>128</v>
      </c>
      <c r="D4" s="10" t="s">
        <v>145</v>
      </c>
      <c r="E4" s="6" t="s">
        <v>132</v>
      </c>
      <c r="F4" s="11">
        <v>0.15</v>
      </c>
      <c r="G4" s="10"/>
      <c r="H4" s="6" t="s">
        <v>123</v>
      </c>
      <c r="I4" s="6" t="s">
        <v>807</v>
      </c>
      <c r="J4" s="6" t="s">
        <v>126</v>
      </c>
    </row>
    <row r="5" spans="1:10">
      <c r="C5" s="6" t="s">
        <v>118</v>
      </c>
      <c r="D5" s="10" t="s">
        <v>146</v>
      </c>
      <c r="E5" s="13" t="s">
        <v>133</v>
      </c>
      <c r="F5" s="14">
        <v>0.05</v>
      </c>
      <c r="G5" s="15"/>
      <c r="H5" s="6" t="s">
        <v>1338</v>
      </c>
    </row>
    <row r="6" spans="1:10">
      <c r="C6" s="6" t="s">
        <v>119</v>
      </c>
      <c r="D6" s="12" t="s">
        <v>617</v>
      </c>
      <c r="E6" s="13" t="s">
        <v>133</v>
      </c>
      <c r="F6" s="14">
        <v>0.1</v>
      </c>
      <c r="G6" s="15"/>
    </row>
    <row r="7" spans="1:10">
      <c r="E7" s="13" t="s">
        <v>134</v>
      </c>
      <c r="F7" s="14">
        <v>0.05</v>
      </c>
      <c r="G7" s="15"/>
    </row>
    <row r="8" spans="1:10">
      <c r="E8" s="13" t="s">
        <v>134</v>
      </c>
      <c r="F8" s="14">
        <v>7.4999999999999997E-2</v>
      </c>
      <c r="G8" s="15"/>
    </row>
    <row r="9" spans="1:10">
      <c r="E9" s="6" t="s">
        <v>135</v>
      </c>
      <c r="F9" s="11">
        <v>0.1</v>
      </c>
      <c r="G9" s="10"/>
    </row>
    <row r="10" spans="1:10">
      <c r="E10" s="6" t="s">
        <v>136</v>
      </c>
      <c r="F10" s="11">
        <v>0.1</v>
      </c>
      <c r="G10" s="10"/>
    </row>
    <row r="11" spans="1:10">
      <c r="E11" s="6" t="s">
        <v>137</v>
      </c>
      <c r="F11" s="11">
        <v>0.15</v>
      </c>
      <c r="G11" s="10"/>
    </row>
  </sheetData>
  <mergeCells count="2">
    <mergeCell ref="A1:J1"/>
    <mergeCell ref="D2:E2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0"/>
  <dimension ref="A1:O7"/>
  <sheetViews>
    <sheetView workbookViewId="0">
      <selection activeCell="G4" sqref="G4"/>
    </sheetView>
  </sheetViews>
  <sheetFormatPr defaultRowHeight="16.25"/>
  <cols>
    <col min="2" max="2" width="15.43359375" bestFit="1" customWidth="1"/>
    <col min="3" max="3" width="14.0859375" customWidth="1"/>
    <col min="4" max="4" width="8.21484375" bestFit="1" customWidth="1"/>
    <col min="5" max="5" width="15" bestFit="1" customWidth="1"/>
  </cols>
  <sheetData>
    <row r="1" spans="1:15">
      <c r="A1" s="361" t="s">
        <v>75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</row>
    <row r="2" spans="1:15" ht="26">
      <c r="A2" s="1" t="s">
        <v>68</v>
      </c>
      <c r="B2" s="1" t="s">
        <v>4</v>
      </c>
      <c r="C2" s="1" t="s">
        <v>69</v>
      </c>
      <c r="D2" s="1" t="s">
        <v>8</v>
      </c>
      <c r="E2" s="1" t="s">
        <v>70</v>
      </c>
      <c r="F2" s="1" t="s">
        <v>71</v>
      </c>
      <c r="G2" s="1" t="s">
        <v>13</v>
      </c>
      <c r="H2" s="1" t="s">
        <v>14</v>
      </c>
      <c r="I2" s="1" t="s">
        <v>15</v>
      </c>
      <c r="J2" s="1" t="s">
        <v>72</v>
      </c>
      <c r="K2" s="1" t="s">
        <v>73</v>
      </c>
      <c r="L2" s="1" t="s">
        <v>17</v>
      </c>
      <c r="M2" s="1" t="s">
        <v>18</v>
      </c>
      <c r="N2" s="1" t="s">
        <v>19</v>
      </c>
      <c r="O2" s="1" t="s">
        <v>74</v>
      </c>
    </row>
    <row r="3" spans="1:15">
      <c r="C3" t="s">
        <v>188</v>
      </c>
    </row>
    <row r="4" spans="1:15">
      <c r="C4" t="s">
        <v>189</v>
      </c>
    </row>
    <row r="5" spans="1:15">
      <c r="C5" t="s">
        <v>190</v>
      </c>
    </row>
    <row r="6" spans="1:15">
      <c r="C6" t="s">
        <v>191</v>
      </c>
    </row>
    <row r="7" spans="1:15">
      <c r="C7" t="s">
        <v>192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41"/>
  <dimension ref="A1:M2"/>
  <sheetViews>
    <sheetView workbookViewId="0">
      <selection activeCell="G4" sqref="G4"/>
    </sheetView>
  </sheetViews>
  <sheetFormatPr defaultRowHeight="16.25"/>
  <cols>
    <col min="12" max="12" width="8.8671875" customWidth="1"/>
    <col min="13" max="13" width="8.21484375" customWidth="1"/>
  </cols>
  <sheetData>
    <row r="1" spans="1:13">
      <c r="A1" s="361" t="s">
        <v>76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</row>
    <row r="2" spans="1:13" ht="39">
      <c r="A2" s="1" t="s">
        <v>77</v>
      </c>
      <c r="B2" s="1" t="s">
        <v>78</v>
      </c>
      <c r="C2" s="1" t="s">
        <v>79</v>
      </c>
      <c r="D2" s="1" t="s">
        <v>80</v>
      </c>
      <c r="E2" s="1" t="s">
        <v>81</v>
      </c>
      <c r="F2" s="1" t="s">
        <v>82</v>
      </c>
      <c r="G2" s="1" t="s">
        <v>83</v>
      </c>
      <c r="H2" s="1" t="s">
        <v>84</v>
      </c>
      <c r="I2" s="1" t="s">
        <v>23</v>
      </c>
      <c r="J2" s="1" t="s">
        <v>85</v>
      </c>
      <c r="K2" s="1" t="s">
        <v>86</v>
      </c>
      <c r="L2" s="1" t="s">
        <v>87</v>
      </c>
      <c r="M2" s="1" t="s">
        <v>88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2"/>
  <dimension ref="A1:F2"/>
  <sheetViews>
    <sheetView workbookViewId="0">
      <selection activeCell="G4" sqref="G4"/>
    </sheetView>
  </sheetViews>
  <sheetFormatPr defaultRowHeight="16.25"/>
  <cols>
    <col min="6" max="6" width="9.43359375" customWidth="1"/>
  </cols>
  <sheetData>
    <row r="1" spans="1:6">
      <c r="A1" s="361" t="s">
        <v>93</v>
      </c>
      <c r="B1" s="362"/>
      <c r="C1" s="362"/>
      <c r="D1" s="362"/>
      <c r="E1" s="362"/>
      <c r="F1" s="362"/>
    </row>
    <row r="2" spans="1:6">
      <c r="A2" s="1" t="s">
        <v>24</v>
      </c>
      <c r="B2" s="1" t="s">
        <v>89</v>
      </c>
      <c r="C2" s="1" t="s">
        <v>26</v>
      </c>
      <c r="D2" s="1" t="s">
        <v>90</v>
      </c>
      <c r="E2" s="1" t="s">
        <v>91</v>
      </c>
      <c r="F2" s="1" t="s">
        <v>92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7"/>
  <dimension ref="A1:K33"/>
  <sheetViews>
    <sheetView workbookViewId="0">
      <selection activeCell="E14" sqref="E14"/>
    </sheetView>
  </sheetViews>
  <sheetFormatPr defaultRowHeight="16.25"/>
  <cols>
    <col min="1" max="1" width="20.34765625" bestFit="1" customWidth="1"/>
    <col min="2" max="6" width="27.5625" bestFit="1" customWidth="1"/>
    <col min="8" max="8" width="9.43359375" bestFit="1" customWidth="1"/>
    <col min="11" max="11" width="11.6484375" bestFit="1" customWidth="1"/>
  </cols>
  <sheetData>
    <row r="1" spans="1:6">
      <c r="A1" s="18" t="s">
        <v>185</v>
      </c>
      <c r="B1" s="18" t="s">
        <v>1336</v>
      </c>
      <c r="C1" s="18" t="s">
        <v>1337</v>
      </c>
      <c r="D1" s="18" t="s">
        <v>1339</v>
      </c>
      <c r="E1" s="18" t="s">
        <v>1340</v>
      </c>
      <c r="F1" s="18" t="s">
        <v>1341</v>
      </c>
    </row>
    <row r="2" spans="1:6" ht="17" thickBot="1">
      <c r="A2" t="s">
        <v>129</v>
      </c>
      <c r="B2" s="228" t="s">
        <v>1330</v>
      </c>
      <c r="C2" s="228" t="s">
        <v>1330</v>
      </c>
      <c r="D2" s="228" t="s">
        <v>1344</v>
      </c>
      <c r="E2" s="228" t="s">
        <v>728</v>
      </c>
      <c r="F2" s="228" t="s">
        <v>1344</v>
      </c>
    </row>
    <row r="3" spans="1:6" ht="17" thickBot="1">
      <c r="A3" t="s">
        <v>67</v>
      </c>
      <c r="B3" s="228" t="s">
        <v>67</v>
      </c>
      <c r="C3" s="228" t="s">
        <v>67</v>
      </c>
      <c r="D3" s="228" t="s">
        <v>1345</v>
      </c>
      <c r="E3" s="228" t="s">
        <v>225</v>
      </c>
      <c r="F3" s="228" t="s">
        <v>1345</v>
      </c>
    </row>
    <row r="4" spans="1:6" ht="17" thickBot="1">
      <c r="A4" s="2" t="s">
        <v>150</v>
      </c>
      <c r="B4" s="228" t="s">
        <v>1327</v>
      </c>
      <c r="C4" s="228" t="s">
        <v>1343</v>
      </c>
      <c r="D4" s="228" t="s">
        <v>882</v>
      </c>
      <c r="E4" s="228" t="s">
        <v>527</v>
      </c>
      <c r="F4" s="228" t="s">
        <v>527</v>
      </c>
    </row>
    <row r="5" spans="1:6" ht="17" thickBot="1">
      <c r="A5" s="2" t="s">
        <v>179</v>
      </c>
      <c r="B5" s="228" t="s">
        <v>1331</v>
      </c>
    </row>
    <row r="6" spans="1:6" ht="17" thickBot="1">
      <c r="A6" s="2" t="s">
        <v>151</v>
      </c>
      <c r="B6" s="228" t="s">
        <v>1328</v>
      </c>
    </row>
    <row r="7" spans="1:6" ht="17" thickBot="1">
      <c r="A7" s="2" t="s">
        <v>152</v>
      </c>
      <c r="B7" s="228" t="s">
        <v>1329</v>
      </c>
    </row>
    <row r="8" spans="1:6" ht="17" thickBot="1">
      <c r="A8" s="2" t="s">
        <v>153</v>
      </c>
      <c r="B8" s="228" t="s">
        <v>180</v>
      </c>
    </row>
    <row r="9" spans="1:6" ht="17" thickBot="1">
      <c r="A9" s="2" t="s">
        <v>154</v>
      </c>
      <c r="B9" s="228" t="s">
        <v>1332</v>
      </c>
    </row>
    <row r="10" spans="1:6" ht="17" thickBot="1">
      <c r="A10" s="2" t="s">
        <v>181</v>
      </c>
      <c r="B10" s="228" t="s">
        <v>1333</v>
      </c>
    </row>
    <row r="11" spans="1:6" ht="17" thickBot="1">
      <c r="A11" s="2" t="s">
        <v>182</v>
      </c>
      <c r="B11" s="228" t="s">
        <v>1334</v>
      </c>
    </row>
    <row r="12" spans="1:6" ht="17" thickBot="1">
      <c r="A12" s="2" t="s">
        <v>183</v>
      </c>
      <c r="B12" s="228" t="s">
        <v>1335</v>
      </c>
    </row>
    <row r="13" spans="1:6" ht="17" thickBot="1">
      <c r="A13" s="225" t="s">
        <v>224</v>
      </c>
      <c r="B13" s="228" t="s">
        <v>1343</v>
      </c>
    </row>
    <row r="14" spans="1:6">
      <c r="A14" s="229" t="s">
        <v>728</v>
      </c>
      <c r="B14" s="227"/>
    </row>
    <row r="15" spans="1:6">
      <c r="A15" s="230" t="s">
        <v>729</v>
      </c>
      <c r="B15" s="226"/>
    </row>
    <row r="16" spans="1:6">
      <c r="A16" s="225" t="s">
        <v>225</v>
      </c>
      <c r="B16" s="226"/>
    </row>
    <row r="17" spans="1:11">
      <c r="A17" s="2" t="s">
        <v>155</v>
      </c>
      <c r="B17" s="226"/>
      <c r="J17" s="19"/>
    </row>
    <row r="18" spans="1:11">
      <c r="A18" t="s">
        <v>180</v>
      </c>
    </row>
    <row r="19" spans="1:11">
      <c r="A19" s="2" t="s">
        <v>223</v>
      </c>
    </row>
    <row r="20" spans="1:11">
      <c r="A20" s="2"/>
    </row>
    <row r="21" spans="1:11">
      <c r="A21" s="3" t="s">
        <v>229</v>
      </c>
      <c r="K21" s="20"/>
    </row>
    <row r="22" spans="1:11">
      <c r="A22" s="3" t="s">
        <v>230</v>
      </c>
    </row>
    <row r="23" spans="1:11">
      <c r="A23" s="3" t="s">
        <v>193</v>
      </c>
    </row>
    <row r="24" spans="1:11">
      <c r="A24" s="3" t="s">
        <v>231</v>
      </c>
    </row>
    <row r="25" spans="1:11">
      <c r="A25" s="4" t="s">
        <v>232</v>
      </c>
    </row>
    <row r="26" spans="1:11">
      <c r="A26" s="21" t="s">
        <v>730</v>
      </c>
    </row>
    <row r="30" spans="1:11">
      <c r="A30" s="3"/>
    </row>
    <row r="31" spans="1:11">
      <c r="A31" s="5"/>
    </row>
    <row r="32" spans="1:11">
      <c r="A32" s="3"/>
    </row>
    <row r="33" spans="1:1">
      <c r="A33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2"/>
  <dimension ref="A1:R530"/>
  <sheetViews>
    <sheetView showGridLines="0" zoomScale="60" zoomScaleNormal="60" workbookViewId="0">
      <pane ySplit="2" topLeftCell="A408" activePane="bottomLeft" state="frozen"/>
      <selection activeCell="D1" sqref="D1"/>
      <selection pane="bottomLeft" activeCell="G440" sqref="G440"/>
    </sheetView>
  </sheetViews>
  <sheetFormatPr defaultColWidth="8.8671875" defaultRowHeight="16.25"/>
  <cols>
    <col min="1" max="1" width="24.0859375" style="34" bestFit="1" customWidth="1"/>
    <col min="2" max="2" width="29.6484375" style="36" bestFit="1" customWidth="1"/>
    <col min="3" max="3" width="5" style="34" customWidth="1"/>
    <col min="4" max="4" width="8.8671875" style="39"/>
    <col min="5" max="5" width="46.8671875" style="39" hidden="1" customWidth="1"/>
    <col min="6" max="6" width="28.78125" style="36" bestFit="1" customWidth="1"/>
    <col min="7" max="7" width="27.5625" style="40" bestFit="1" customWidth="1"/>
    <col min="8" max="8" width="17.0859375" style="39" bestFit="1" customWidth="1"/>
    <col min="9" max="9" width="13.43359375" style="39" customWidth="1"/>
    <col min="10" max="11" width="11.21484375" style="39" customWidth="1"/>
    <col min="12" max="12" width="12.5625" style="39" customWidth="1"/>
    <col min="13" max="13" width="11.6484375" style="39" customWidth="1"/>
    <col min="14" max="14" width="11.21484375" style="34" bestFit="1" customWidth="1"/>
    <col min="15" max="15" width="11.6484375" style="39" customWidth="1"/>
    <col min="16" max="16" width="11.21484375" style="39" customWidth="1"/>
    <col min="17" max="17" width="14" style="39" customWidth="1"/>
    <col min="18" max="18" width="14.5625" style="39" customWidth="1"/>
    <col min="19" max="16384" width="8.8671875" style="34"/>
  </cols>
  <sheetData>
    <row r="1" spans="1:18" s="25" customFormat="1">
      <c r="A1" s="24" t="s">
        <v>600</v>
      </c>
      <c r="B1" s="24"/>
      <c r="D1" s="26"/>
      <c r="E1" s="27"/>
      <c r="F1" s="24"/>
      <c r="G1" s="28" t="s">
        <v>525</v>
      </c>
      <c r="H1" s="26"/>
      <c r="I1" s="26"/>
      <c r="J1" s="26"/>
      <c r="K1" s="26"/>
      <c r="L1" s="26"/>
      <c r="M1" s="26"/>
      <c r="O1" s="26"/>
      <c r="P1" s="26"/>
      <c r="Q1" s="26"/>
      <c r="R1" s="26"/>
    </row>
    <row r="2" spans="1:18">
      <c r="A2" s="29" t="s">
        <v>143</v>
      </c>
      <c r="B2" s="30" t="s">
        <v>495</v>
      </c>
      <c r="C2" s="27"/>
      <c r="D2" s="29" t="s">
        <v>101</v>
      </c>
      <c r="E2" s="29" t="s">
        <v>839</v>
      </c>
      <c r="F2" s="30" t="s">
        <v>840</v>
      </c>
      <c r="G2" s="31" t="s">
        <v>841</v>
      </c>
      <c r="H2" s="32"/>
      <c r="I2" s="33"/>
      <c r="J2" s="33"/>
      <c r="K2" s="33"/>
      <c r="L2" s="33"/>
      <c r="M2" s="33"/>
      <c r="N2" s="151"/>
      <c r="O2" s="33"/>
      <c r="P2" s="33"/>
      <c r="Q2" s="33"/>
      <c r="R2" s="33"/>
    </row>
    <row r="3" spans="1:18">
      <c r="A3" s="22">
        <v>1</v>
      </c>
      <c r="B3" s="23" t="str">
        <f>D3&amp;$A$2</f>
        <v>T0.05Mylar</v>
      </c>
      <c r="C3" s="24"/>
      <c r="D3" s="22" t="s">
        <v>842</v>
      </c>
      <c r="E3" s="23" t="str">
        <f>F3&amp;G3</f>
        <v>T0.05Mylar透明</v>
      </c>
      <c r="F3" s="23" t="str">
        <f>$D$3&amp;$A$2</f>
        <v>T0.05Mylar</v>
      </c>
      <c r="G3" s="35" t="s">
        <v>656</v>
      </c>
      <c r="H3" s="22"/>
      <c r="I3" s="22"/>
      <c r="J3" s="22"/>
      <c r="K3" s="22"/>
      <c r="L3" s="22"/>
      <c r="M3" s="22"/>
      <c r="N3" s="37"/>
      <c r="O3" s="22"/>
      <c r="P3" s="22"/>
      <c r="Q3" s="22"/>
      <c r="R3" s="22"/>
    </row>
    <row r="4" spans="1:18">
      <c r="A4" s="22">
        <v>2</v>
      </c>
      <c r="B4" s="23" t="str">
        <f>D10&amp;$A$2</f>
        <v>T0.075Mylar</v>
      </c>
      <c r="C4" s="24"/>
      <c r="D4" s="22"/>
      <c r="E4" s="23" t="str">
        <f t="shared" ref="E4:E73" si="0">F4&amp;G4</f>
        <v>T0.05MylarCY28_PET</v>
      </c>
      <c r="F4" s="23" t="str">
        <f t="shared" ref="F4:F8" si="1">$D$3&amp;$A$2</f>
        <v>T0.05Mylar</v>
      </c>
      <c r="G4" s="35" t="s">
        <v>843</v>
      </c>
      <c r="H4" s="22"/>
      <c r="I4" s="22"/>
      <c r="J4" s="22"/>
      <c r="K4" s="22"/>
      <c r="L4" s="22"/>
      <c r="M4" s="22"/>
      <c r="N4" s="37"/>
      <c r="O4" s="22"/>
      <c r="P4" s="22"/>
      <c r="Q4" s="22"/>
      <c r="R4" s="22"/>
    </row>
    <row r="5" spans="1:18">
      <c r="A5" s="22">
        <v>3</v>
      </c>
      <c r="B5" s="23" t="str">
        <f>D14&amp;$A$2</f>
        <v>T0.1Mylar</v>
      </c>
      <c r="C5" s="24"/>
      <c r="D5" s="22"/>
      <c r="E5" s="23" t="str">
        <f t="shared" si="0"/>
        <v>T0.05Mylar黑色</v>
      </c>
      <c r="F5" s="23" t="str">
        <f t="shared" si="1"/>
        <v>T0.05Mylar</v>
      </c>
      <c r="G5" s="35" t="s">
        <v>657</v>
      </c>
      <c r="H5" s="22"/>
      <c r="I5" s="22"/>
      <c r="J5" s="22"/>
      <c r="K5" s="22"/>
      <c r="L5" s="22"/>
      <c r="M5" s="22"/>
      <c r="N5" s="37"/>
      <c r="O5" s="22"/>
      <c r="P5" s="22"/>
      <c r="Q5" s="22"/>
      <c r="R5" s="22"/>
    </row>
    <row r="6" spans="1:18">
      <c r="A6" s="22">
        <v>4</v>
      </c>
      <c r="B6" s="23" t="str">
        <f>D24&amp;$A$2</f>
        <v>T0.125Mylar</v>
      </c>
      <c r="C6" s="24"/>
      <c r="D6" s="22"/>
      <c r="E6" s="23" t="str">
        <f t="shared" si="0"/>
        <v>T0.05MylarPC1860</v>
      </c>
      <c r="F6" s="23" t="str">
        <f>$D$3&amp;$A$2</f>
        <v>T0.05Mylar</v>
      </c>
      <c r="G6" s="35" t="s">
        <v>523</v>
      </c>
      <c r="H6" s="22"/>
      <c r="I6" s="22"/>
      <c r="J6" s="22"/>
      <c r="K6" s="22"/>
      <c r="L6" s="22"/>
      <c r="M6" s="22"/>
      <c r="N6" s="37"/>
      <c r="O6" s="22"/>
      <c r="P6" s="22"/>
      <c r="Q6" s="22"/>
      <c r="R6" s="22"/>
    </row>
    <row r="7" spans="1:18">
      <c r="A7" s="22">
        <v>5</v>
      </c>
      <c r="B7" s="23" t="str">
        <f>D31&amp;$A$2</f>
        <v>T0.175Mylar</v>
      </c>
      <c r="C7" s="24"/>
      <c r="D7" s="152"/>
      <c r="E7" s="153" t="str">
        <f t="shared" si="0"/>
        <v>T0.05MylarDK_10</v>
      </c>
      <c r="F7" s="153" t="str">
        <f>$D$3&amp;$A$2</f>
        <v>T0.05Mylar</v>
      </c>
      <c r="G7" s="154" t="s">
        <v>844</v>
      </c>
      <c r="H7" s="22"/>
      <c r="I7" s="22"/>
      <c r="J7" s="22"/>
      <c r="K7" s="22"/>
      <c r="L7" s="22"/>
      <c r="M7" s="22"/>
      <c r="N7" s="37"/>
      <c r="O7" s="22"/>
      <c r="P7" s="22"/>
      <c r="Q7" s="22"/>
      <c r="R7" s="22"/>
    </row>
    <row r="8" spans="1:18">
      <c r="A8" s="22">
        <v>6</v>
      </c>
      <c r="B8" s="23" t="str">
        <f>D39&amp;$A$2</f>
        <v>T0.188Mylar</v>
      </c>
      <c r="C8" s="24"/>
      <c r="D8" s="22"/>
      <c r="E8" s="23" t="str">
        <f t="shared" si="0"/>
        <v>T0.05MylarOther_Fill_ME_Remark</v>
      </c>
      <c r="F8" s="23" t="str">
        <f t="shared" si="1"/>
        <v>T0.05Mylar</v>
      </c>
      <c r="G8" s="35" t="s">
        <v>527</v>
      </c>
      <c r="H8" s="22"/>
      <c r="I8" s="22"/>
      <c r="J8" s="22"/>
      <c r="K8" s="22"/>
      <c r="L8" s="22"/>
      <c r="M8" s="22"/>
      <c r="N8" s="37"/>
      <c r="O8" s="22"/>
      <c r="P8" s="22"/>
      <c r="Q8" s="22"/>
      <c r="R8" s="22"/>
    </row>
    <row r="9" spans="1:18">
      <c r="A9" s="22">
        <v>7</v>
      </c>
      <c r="B9" s="23" t="str">
        <f>D45&amp;$A$2</f>
        <v>T0.25Mylar</v>
      </c>
      <c r="C9" s="24"/>
      <c r="D9" s="22"/>
      <c r="E9" s="23"/>
      <c r="F9" s="23"/>
      <c r="G9" s="35"/>
      <c r="H9" s="22"/>
      <c r="I9" s="22"/>
      <c r="J9" s="22"/>
      <c r="K9" s="22"/>
      <c r="L9" s="22"/>
      <c r="M9" s="22"/>
      <c r="N9" s="37"/>
      <c r="O9" s="22"/>
      <c r="P9" s="22"/>
      <c r="Q9" s="22"/>
      <c r="R9" s="22"/>
    </row>
    <row r="10" spans="1:18">
      <c r="A10" s="22">
        <v>8</v>
      </c>
      <c r="B10" s="23" t="str">
        <f>D56&amp;$A$2</f>
        <v>T0.38Mylar</v>
      </c>
      <c r="C10" s="24"/>
      <c r="D10" s="22" t="s">
        <v>614</v>
      </c>
      <c r="E10" s="23" t="str">
        <f t="shared" si="0"/>
        <v>T0.075MylarPC1860</v>
      </c>
      <c r="F10" s="23" t="str">
        <f>$D$10&amp;$A$2</f>
        <v>T0.075Mylar</v>
      </c>
      <c r="G10" s="35" t="s">
        <v>523</v>
      </c>
      <c r="H10" s="22"/>
      <c r="I10" s="22"/>
      <c r="J10" s="22"/>
      <c r="K10" s="22"/>
      <c r="L10" s="22"/>
      <c r="M10" s="22"/>
      <c r="N10" s="37"/>
      <c r="O10" s="22"/>
      <c r="P10" s="22"/>
      <c r="Q10" s="22"/>
      <c r="R10" s="22"/>
    </row>
    <row r="11" spans="1:18">
      <c r="A11" s="22">
        <v>9</v>
      </c>
      <c r="B11" s="23" t="str">
        <f>D64&amp;$A$2</f>
        <v>T0.43Mylar</v>
      </c>
      <c r="C11" s="24"/>
      <c r="D11" s="22"/>
      <c r="E11" s="23" t="str">
        <f t="shared" si="0"/>
        <v>T0.075MylarDFR117</v>
      </c>
      <c r="F11" s="23" t="str">
        <f>$D$10&amp;$A$2</f>
        <v>T0.075Mylar</v>
      </c>
      <c r="G11" s="35" t="s">
        <v>532</v>
      </c>
      <c r="H11" s="22"/>
      <c r="I11" s="22"/>
      <c r="J11" s="22"/>
      <c r="K11" s="22"/>
      <c r="L11" s="22"/>
      <c r="M11" s="22"/>
      <c r="N11" s="37"/>
      <c r="O11" s="22"/>
      <c r="P11" s="22"/>
      <c r="Q11" s="22"/>
      <c r="R11" s="22"/>
    </row>
    <row r="12" spans="1:18">
      <c r="A12" s="22">
        <v>10</v>
      </c>
      <c r="B12" s="23" t="str">
        <f>D69&amp;$A$2</f>
        <v>T0.5Mylar</v>
      </c>
      <c r="C12" s="24"/>
      <c r="D12" s="22"/>
      <c r="E12" s="23" t="str">
        <f t="shared" si="0"/>
        <v>T0.075MylarOther_Fill_ME_Remark</v>
      </c>
      <c r="F12" s="23" t="str">
        <f>$D$10&amp;$A$2</f>
        <v>T0.075Mylar</v>
      </c>
      <c r="G12" s="35" t="s">
        <v>527</v>
      </c>
      <c r="H12" s="22"/>
      <c r="I12" s="22"/>
      <c r="J12" s="22"/>
      <c r="K12" s="22"/>
      <c r="L12" s="22"/>
      <c r="M12" s="22"/>
      <c r="N12" s="37"/>
      <c r="O12" s="22"/>
      <c r="P12" s="22"/>
      <c r="Q12" s="22"/>
      <c r="R12" s="22"/>
    </row>
    <row r="13" spans="1:18">
      <c r="A13" s="22">
        <v>11</v>
      </c>
      <c r="B13" s="23" t="str">
        <f>D75&amp;$A$2</f>
        <v>T0.76Mylar</v>
      </c>
      <c r="C13" s="25"/>
      <c r="D13" s="22"/>
      <c r="E13" s="23"/>
      <c r="F13" s="23"/>
      <c r="G13" s="35"/>
      <c r="H13" s="22"/>
      <c r="I13" s="22"/>
      <c r="J13" s="22"/>
      <c r="K13" s="22"/>
      <c r="L13" s="22"/>
      <c r="M13" s="22"/>
      <c r="N13" s="37"/>
      <c r="O13" s="22"/>
      <c r="P13" s="22"/>
      <c r="Q13" s="22"/>
      <c r="R13" s="22"/>
    </row>
    <row r="14" spans="1:18">
      <c r="A14" s="22">
        <v>12</v>
      </c>
      <c r="B14" s="23" t="str">
        <f>D80&amp;$A$2</f>
        <v>T0.8Mylar</v>
      </c>
      <c r="C14" s="25"/>
      <c r="D14" s="22" t="s">
        <v>845</v>
      </c>
      <c r="E14" s="23" t="str">
        <f t="shared" si="0"/>
        <v>T0.1MylarPET6027D</v>
      </c>
      <c r="F14" s="23" t="str">
        <f t="shared" ref="F14:F22" si="2">$D$14&amp;$A$2</f>
        <v>T0.1Mylar</v>
      </c>
      <c r="G14" s="23" t="s">
        <v>846</v>
      </c>
      <c r="H14" s="22"/>
      <c r="I14" s="22"/>
      <c r="J14" s="22"/>
      <c r="K14" s="22"/>
      <c r="L14" s="22"/>
      <c r="M14" s="22"/>
      <c r="N14" s="37"/>
      <c r="O14" s="22"/>
      <c r="P14" s="22"/>
      <c r="Q14" s="22"/>
      <c r="R14" s="22"/>
    </row>
    <row r="15" spans="1:18">
      <c r="A15" s="22">
        <v>13</v>
      </c>
      <c r="B15" s="23" t="str">
        <f>D84&amp;$A$2</f>
        <v>T1.0Mylar</v>
      </c>
      <c r="C15" s="25"/>
      <c r="D15" s="22"/>
      <c r="E15" s="23" t="str">
        <f t="shared" si="0"/>
        <v>T0.1MylarPET6023D</v>
      </c>
      <c r="F15" s="23" t="str">
        <f t="shared" si="2"/>
        <v>T0.1Mylar</v>
      </c>
      <c r="G15" s="23" t="s">
        <v>847</v>
      </c>
      <c r="H15" s="22"/>
      <c r="I15" s="22"/>
      <c r="J15" s="22"/>
      <c r="K15" s="22"/>
      <c r="L15" s="22"/>
      <c r="M15" s="22"/>
      <c r="N15" s="37"/>
      <c r="O15" s="22"/>
      <c r="P15" s="22"/>
      <c r="Q15" s="22"/>
      <c r="R15" s="22"/>
    </row>
    <row r="16" spans="1:18">
      <c r="A16" s="22">
        <v>14</v>
      </c>
      <c r="B16" s="23" t="s">
        <v>604</v>
      </c>
      <c r="C16" s="25"/>
      <c r="D16" s="22"/>
      <c r="E16" s="23" t="str">
        <f t="shared" si="0"/>
        <v>T0.1Mylar透明</v>
      </c>
      <c r="F16" s="23" t="str">
        <f t="shared" si="2"/>
        <v>T0.1Mylar</v>
      </c>
      <c r="G16" s="35" t="s">
        <v>656</v>
      </c>
      <c r="H16" s="22"/>
      <c r="I16" s="22"/>
      <c r="J16" s="22"/>
      <c r="K16" s="22"/>
      <c r="L16" s="22"/>
      <c r="M16" s="22"/>
      <c r="N16" s="37"/>
      <c r="O16" s="22"/>
      <c r="P16" s="22"/>
      <c r="Q16" s="22"/>
      <c r="R16" s="22"/>
    </row>
    <row r="17" spans="1:18">
      <c r="A17" s="22">
        <v>15</v>
      </c>
      <c r="B17" s="23"/>
      <c r="C17" s="25"/>
      <c r="D17" s="22"/>
      <c r="E17" s="23" t="str">
        <f t="shared" si="0"/>
        <v>T0.1MylarCY28_PET</v>
      </c>
      <c r="F17" s="23" t="str">
        <f t="shared" si="2"/>
        <v>T0.1Mylar</v>
      </c>
      <c r="G17" s="35" t="s">
        <v>522</v>
      </c>
      <c r="H17" s="22"/>
      <c r="I17" s="22"/>
      <c r="J17" s="22"/>
      <c r="K17" s="22"/>
      <c r="L17" s="22"/>
      <c r="M17" s="22"/>
      <c r="N17" s="37"/>
      <c r="O17" s="22"/>
      <c r="P17" s="22"/>
      <c r="Q17" s="22"/>
      <c r="R17" s="22"/>
    </row>
    <row r="18" spans="1:18">
      <c r="A18" s="22">
        <v>16</v>
      </c>
      <c r="B18" s="23"/>
      <c r="C18" s="25"/>
      <c r="D18" s="22"/>
      <c r="E18" s="23" t="str">
        <f t="shared" si="0"/>
        <v>T0.1Mylar黑色</v>
      </c>
      <c r="F18" s="23" t="str">
        <f t="shared" si="2"/>
        <v>T0.1Mylar</v>
      </c>
      <c r="G18" s="35" t="s">
        <v>657</v>
      </c>
      <c r="H18" s="22"/>
      <c r="I18" s="22"/>
      <c r="J18" s="22"/>
      <c r="K18" s="22"/>
      <c r="L18" s="22"/>
      <c r="M18" s="22"/>
      <c r="N18" s="37"/>
      <c r="O18" s="22"/>
      <c r="P18" s="22"/>
      <c r="Q18" s="22"/>
      <c r="R18" s="22"/>
    </row>
    <row r="19" spans="1:18">
      <c r="A19" s="22">
        <v>17</v>
      </c>
      <c r="B19" s="23"/>
      <c r="C19" s="25"/>
      <c r="D19" s="22"/>
      <c r="E19" s="23" t="str">
        <f t="shared" si="0"/>
        <v>T0.1MylarPC1860</v>
      </c>
      <c r="F19" s="23" t="str">
        <f t="shared" si="2"/>
        <v>T0.1Mylar</v>
      </c>
      <c r="G19" s="35" t="s">
        <v>523</v>
      </c>
      <c r="H19" s="22"/>
      <c r="I19" s="22"/>
      <c r="J19" s="22"/>
      <c r="K19" s="22"/>
      <c r="L19" s="22"/>
      <c r="M19" s="22"/>
      <c r="N19" s="37"/>
      <c r="O19" s="22"/>
      <c r="P19" s="22"/>
      <c r="Q19" s="22"/>
      <c r="R19" s="22"/>
    </row>
    <row r="20" spans="1:18">
      <c r="A20" s="26"/>
      <c r="B20" s="24"/>
      <c r="C20" s="25"/>
      <c r="D20" s="22"/>
      <c r="E20" s="23" t="str">
        <f t="shared" si="0"/>
        <v>T0.1MylarDFR117</v>
      </c>
      <c r="F20" s="23" t="str">
        <f t="shared" si="2"/>
        <v>T0.1Mylar</v>
      </c>
      <c r="G20" s="35" t="s">
        <v>532</v>
      </c>
      <c r="H20" s="22"/>
      <c r="I20" s="22"/>
      <c r="J20" s="22"/>
      <c r="K20" s="22"/>
      <c r="L20" s="22"/>
      <c r="M20" s="22"/>
      <c r="N20" s="37"/>
      <c r="O20" s="22"/>
      <c r="P20" s="22"/>
      <c r="Q20" s="22"/>
      <c r="R20" s="22"/>
    </row>
    <row r="21" spans="1:18">
      <c r="A21" s="26"/>
      <c r="B21" s="24"/>
      <c r="C21" s="25"/>
      <c r="D21" s="152"/>
      <c r="E21" s="153" t="str">
        <f t="shared" si="0"/>
        <v>T0.1MylarDK_10</v>
      </c>
      <c r="F21" s="153" t="str">
        <f t="shared" si="2"/>
        <v>T0.1Mylar</v>
      </c>
      <c r="G21" s="154" t="s">
        <v>844</v>
      </c>
      <c r="H21" s="22"/>
      <c r="I21" s="22"/>
      <c r="J21" s="22"/>
      <c r="K21" s="22"/>
      <c r="L21" s="22"/>
      <c r="M21" s="22"/>
      <c r="N21" s="37"/>
      <c r="O21" s="22"/>
      <c r="P21" s="22"/>
      <c r="Q21" s="22"/>
      <c r="R21" s="22"/>
    </row>
    <row r="22" spans="1:18">
      <c r="A22" s="26"/>
      <c r="B22" s="24"/>
      <c r="C22" s="25"/>
      <c r="D22" s="22"/>
      <c r="E22" s="23" t="str">
        <f t="shared" si="0"/>
        <v>T0.1MylarOther_Fill_ME_Remark</v>
      </c>
      <c r="F22" s="23" t="str">
        <f t="shared" si="2"/>
        <v>T0.1Mylar</v>
      </c>
      <c r="G22" s="35" t="s">
        <v>527</v>
      </c>
      <c r="H22" s="22"/>
      <c r="I22" s="22"/>
      <c r="J22" s="22"/>
      <c r="K22" s="22"/>
      <c r="L22" s="22"/>
      <c r="M22" s="22"/>
      <c r="N22" s="37"/>
      <c r="O22" s="22"/>
      <c r="P22" s="22"/>
      <c r="Q22" s="22"/>
      <c r="R22" s="22"/>
    </row>
    <row r="23" spans="1:18">
      <c r="A23" s="25"/>
      <c r="B23" s="24"/>
      <c r="C23" s="25"/>
      <c r="D23" s="22"/>
      <c r="E23" s="23"/>
      <c r="F23" s="23"/>
      <c r="G23" s="35"/>
      <c r="H23" s="22"/>
      <c r="I23" s="22"/>
      <c r="J23" s="22"/>
      <c r="K23" s="22"/>
      <c r="L23" s="22"/>
      <c r="M23" s="22"/>
      <c r="N23" s="37"/>
      <c r="O23" s="22"/>
      <c r="P23" s="22"/>
      <c r="Q23" s="22"/>
      <c r="R23" s="22"/>
    </row>
    <row r="24" spans="1:18">
      <c r="A24" s="25"/>
      <c r="B24" s="24"/>
      <c r="C24" s="25"/>
      <c r="D24" s="22" t="s">
        <v>593</v>
      </c>
      <c r="E24" s="23" t="str">
        <f t="shared" si="0"/>
        <v>T0.125MylarDFR_BK_PP</v>
      </c>
      <c r="F24" s="23" t="str">
        <f t="shared" ref="F24:F29" si="3">$D$24&amp;$A$2</f>
        <v>T0.125Mylar</v>
      </c>
      <c r="G24" s="35" t="s">
        <v>531</v>
      </c>
      <c r="H24" s="22"/>
      <c r="I24" s="22"/>
      <c r="J24" s="22"/>
      <c r="K24" s="22"/>
      <c r="L24" s="22"/>
      <c r="M24" s="22"/>
      <c r="N24" s="37"/>
      <c r="O24" s="22"/>
      <c r="P24" s="22"/>
      <c r="Q24" s="22"/>
      <c r="R24" s="22"/>
    </row>
    <row r="25" spans="1:18">
      <c r="A25" s="25"/>
      <c r="B25" s="24"/>
      <c r="C25" s="25"/>
      <c r="D25" s="22"/>
      <c r="E25" s="23" t="str">
        <f t="shared" si="0"/>
        <v>T0.125MylarDFR117</v>
      </c>
      <c r="F25" s="23" t="str">
        <f t="shared" si="3"/>
        <v>T0.125Mylar</v>
      </c>
      <c r="G25" s="35" t="s">
        <v>532</v>
      </c>
      <c r="H25" s="22"/>
      <c r="I25" s="22"/>
      <c r="J25" s="22"/>
      <c r="K25" s="22"/>
      <c r="L25" s="22"/>
      <c r="M25" s="22"/>
      <c r="N25" s="37"/>
      <c r="O25" s="22"/>
      <c r="P25" s="22"/>
      <c r="Q25" s="22"/>
      <c r="R25" s="22"/>
    </row>
    <row r="26" spans="1:18">
      <c r="A26" s="25"/>
      <c r="B26" s="24"/>
      <c r="C26" s="25"/>
      <c r="D26" s="22"/>
      <c r="E26" s="23" t="str">
        <f t="shared" si="0"/>
        <v>T0.125MylarPC1860</v>
      </c>
      <c r="F26" s="23" t="str">
        <f t="shared" si="3"/>
        <v>T0.125Mylar</v>
      </c>
      <c r="G26" s="35" t="s">
        <v>848</v>
      </c>
      <c r="H26" s="22"/>
      <c r="I26" s="22"/>
      <c r="J26" s="22"/>
      <c r="K26" s="22"/>
      <c r="L26" s="22"/>
      <c r="M26" s="22"/>
      <c r="N26" s="37"/>
      <c r="O26" s="22"/>
      <c r="P26" s="22"/>
      <c r="Q26" s="22"/>
      <c r="R26" s="22"/>
    </row>
    <row r="27" spans="1:18">
      <c r="A27" s="25"/>
      <c r="B27" s="24"/>
      <c r="C27" s="25"/>
      <c r="D27" s="22"/>
      <c r="E27" s="23" t="str">
        <f t="shared" si="0"/>
        <v>T0.125MylarDFR116ECOB</v>
      </c>
      <c r="F27" s="23" t="str">
        <f t="shared" si="3"/>
        <v>T0.125Mylar</v>
      </c>
      <c r="G27" s="35" t="s">
        <v>534</v>
      </c>
      <c r="H27" s="22"/>
      <c r="I27" s="22"/>
      <c r="J27" s="22"/>
      <c r="K27" s="22"/>
      <c r="L27" s="22"/>
      <c r="M27" s="22"/>
      <c r="N27" s="37"/>
      <c r="O27" s="22"/>
      <c r="P27" s="22"/>
      <c r="Q27" s="22"/>
      <c r="R27" s="22"/>
    </row>
    <row r="28" spans="1:18">
      <c r="A28" s="25"/>
      <c r="B28" s="24"/>
      <c r="C28" s="25"/>
      <c r="D28" s="152"/>
      <c r="E28" s="153" t="str">
        <f t="shared" si="0"/>
        <v>T0.125MylarPC-DF8D32</v>
      </c>
      <c r="F28" s="153" t="str">
        <f t="shared" si="3"/>
        <v>T0.125Mylar</v>
      </c>
      <c r="G28" s="154" t="s">
        <v>849</v>
      </c>
      <c r="H28" s="22"/>
      <c r="I28" s="22"/>
      <c r="J28" s="22"/>
      <c r="K28" s="22"/>
      <c r="L28" s="22"/>
      <c r="M28" s="22"/>
      <c r="N28" s="37"/>
      <c r="O28" s="22"/>
      <c r="P28" s="22"/>
      <c r="Q28" s="22"/>
      <c r="R28" s="22"/>
    </row>
    <row r="29" spans="1:18">
      <c r="A29" s="25"/>
      <c r="B29" s="24"/>
      <c r="C29" s="25"/>
      <c r="D29" s="22"/>
      <c r="E29" s="23" t="str">
        <f t="shared" si="0"/>
        <v>T0.125MylarOther_Fill_ME_Remark</v>
      </c>
      <c r="F29" s="23" t="str">
        <f t="shared" si="3"/>
        <v>T0.125Mylar</v>
      </c>
      <c r="G29" s="35" t="s">
        <v>527</v>
      </c>
      <c r="H29" s="22"/>
      <c r="I29" s="22"/>
      <c r="J29" s="22"/>
      <c r="K29" s="22"/>
      <c r="L29" s="22"/>
      <c r="M29" s="22"/>
      <c r="N29" s="37"/>
      <c r="O29" s="22"/>
      <c r="P29" s="22"/>
      <c r="Q29" s="22"/>
      <c r="R29" s="22"/>
    </row>
    <row r="30" spans="1:18">
      <c r="A30" s="25"/>
      <c r="B30" s="24"/>
      <c r="C30" s="25"/>
      <c r="D30" s="22"/>
      <c r="E30" s="23"/>
      <c r="F30" s="23"/>
      <c r="G30" s="35"/>
      <c r="H30" s="22"/>
      <c r="I30" s="22"/>
      <c r="J30" s="22"/>
      <c r="K30" s="22"/>
      <c r="L30" s="22"/>
      <c r="M30" s="22"/>
      <c r="N30" s="37"/>
      <c r="O30" s="22"/>
      <c r="P30" s="22"/>
      <c r="Q30" s="22"/>
      <c r="R30" s="22"/>
    </row>
    <row r="31" spans="1:18">
      <c r="A31" s="25"/>
      <c r="B31" s="24"/>
      <c r="D31" s="22" t="s">
        <v>850</v>
      </c>
      <c r="E31" s="23" t="str">
        <f t="shared" si="0"/>
        <v>T0.175MylarDFR_BK_PP</v>
      </c>
      <c r="F31" s="23" t="str">
        <f t="shared" ref="F31:F37" si="4">$D$31&amp;$A$2</f>
        <v>T0.175Mylar</v>
      </c>
      <c r="G31" s="35" t="s">
        <v>531</v>
      </c>
      <c r="H31" s="22"/>
      <c r="I31" s="22"/>
      <c r="J31" s="22"/>
      <c r="K31" s="22"/>
      <c r="L31" s="22"/>
      <c r="M31" s="22"/>
      <c r="N31" s="37"/>
      <c r="O31" s="22"/>
      <c r="P31" s="22"/>
      <c r="Q31" s="22"/>
      <c r="R31" s="22"/>
    </row>
    <row r="32" spans="1:18">
      <c r="D32" s="22"/>
      <c r="E32" s="23" t="str">
        <f t="shared" si="0"/>
        <v>T0.175MylarDFR117</v>
      </c>
      <c r="F32" s="23" t="str">
        <f t="shared" si="4"/>
        <v>T0.175Mylar</v>
      </c>
      <c r="G32" s="35" t="s">
        <v>532</v>
      </c>
      <c r="H32" s="22"/>
      <c r="I32" s="22"/>
      <c r="J32" s="22"/>
      <c r="K32" s="22"/>
      <c r="L32" s="22"/>
      <c r="M32" s="22"/>
      <c r="N32" s="37"/>
      <c r="O32" s="22"/>
      <c r="P32" s="22"/>
      <c r="Q32" s="22"/>
      <c r="R32" s="22"/>
    </row>
    <row r="33" spans="4:18">
      <c r="D33" s="22"/>
      <c r="E33" s="23" t="str">
        <f t="shared" si="0"/>
        <v>T0.175MylarDFR116ECOB</v>
      </c>
      <c r="F33" s="23" t="str">
        <f t="shared" si="4"/>
        <v>T0.175Mylar</v>
      </c>
      <c r="G33" s="35" t="s">
        <v>534</v>
      </c>
      <c r="H33" s="22"/>
      <c r="I33" s="22"/>
      <c r="J33" s="22"/>
      <c r="K33" s="22"/>
      <c r="L33" s="22"/>
      <c r="M33" s="22"/>
      <c r="N33" s="37"/>
      <c r="O33" s="22"/>
      <c r="P33" s="22"/>
      <c r="Q33" s="22"/>
      <c r="R33" s="22"/>
    </row>
    <row r="34" spans="4:18">
      <c r="D34" s="22"/>
      <c r="E34" s="23" t="str">
        <f t="shared" si="0"/>
        <v>T0.175Mylar透明PC</v>
      </c>
      <c r="F34" s="23" t="str">
        <f t="shared" si="4"/>
        <v>T0.175Mylar</v>
      </c>
      <c r="G34" s="35" t="s">
        <v>851</v>
      </c>
      <c r="H34" s="22"/>
      <c r="I34" s="22"/>
      <c r="J34" s="22"/>
      <c r="K34" s="22"/>
      <c r="L34" s="22"/>
      <c r="M34" s="22"/>
      <c r="N34" s="37"/>
      <c r="O34" s="22"/>
      <c r="P34" s="22"/>
      <c r="Q34" s="22"/>
      <c r="R34" s="22"/>
    </row>
    <row r="35" spans="4:18">
      <c r="D35" s="22"/>
      <c r="E35" s="23" t="str">
        <f t="shared" si="0"/>
        <v>T0.175MylarPC1860</v>
      </c>
      <c r="F35" s="23" t="str">
        <f t="shared" si="4"/>
        <v>T0.175Mylar</v>
      </c>
      <c r="G35" s="35" t="s">
        <v>533</v>
      </c>
      <c r="H35" s="22"/>
      <c r="I35" s="22"/>
      <c r="J35" s="22"/>
      <c r="K35" s="22"/>
      <c r="L35" s="22"/>
      <c r="M35" s="22"/>
      <c r="N35" s="37"/>
      <c r="O35" s="22"/>
      <c r="P35" s="22"/>
      <c r="Q35" s="22"/>
      <c r="R35" s="22"/>
    </row>
    <row r="36" spans="4:18">
      <c r="D36" s="152"/>
      <c r="E36" s="153" t="str">
        <f t="shared" si="0"/>
        <v>T0.175MylarPC-DF8D32</v>
      </c>
      <c r="F36" s="153" t="str">
        <f t="shared" si="4"/>
        <v>T0.175Mylar</v>
      </c>
      <c r="G36" s="154" t="s">
        <v>849</v>
      </c>
      <c r="H36" s="22"/>
      <c r="I36" s="22"/>
      <c r="J36" s="22"/>
      <c r="K36" s="22"/>
      <c r="L36" s="22"/>
      <c r="M36" s="22"/>
      <c r="N36" s="37"/>
      <c r="O36" s="22"/>
      <c r="P36" s="22"/>
      <c r="Q36" s="22"/>
      <c r="R36" s="22"/>
    </row>
    <row r="37" spans="4:18">
      <c r="D37" s="22"/>
      <c r="E37" s="23" t="str">
        <f t="shared" si="0"/>
        <v>T0.175MylarOther_Fill_ME_Remark</v>
      </c>
      <c r="F37" s="23" t="str">
        <f t="shared" si="4"/>
        <v>T0.175Mylar</v>
      </c>
      <c r="G37" s="35" t="s">
        <v>527</v>
      </c>
      <c r="H37" s="22"/>
      <c r="I37" s="22"/>
      <c r="J37" s="22"/>
      <c r="K37" s="22"/>
      <c r="L37" s="22"/>
      <c r="M37" s="22"/>
      <c r="N37" s="37"/>
      <c r="O37" s="22"/>
      <c r="P37" s="22"/>
      <c r="Q37" s="22"/>
      <c r="R37" s="22"/>
    </row>
    <row r="38" spans="4:18">
      <c r="D38" s="22"/>
      <c r="E38" s="23"/>
      <c r="F38" s="23"/>
      <c r="G38" s="35"/>
      <c r="H38" s="22"/>
      <c r="I38" s="22"/>
      <c r="J38" s="22"/>
      <c r="K38" s="22"/>
      <c r="L38" s="22"/>
      <c r="M38" s="22"/>
      <c r="N38" s="37"/>
      <c r="O38" s="22"/>
      <c r="P38" s="22"/>
      <c r="Q38" s="22"/>
      <c r="R38" s="22"/>
    </row>
    <row r="39" spans="4:18">
      <c r="D39" s="22" t="s">
        <v>535</v>
      </c>
      <c r="E39" s="23" t="str">
        <f t="shared" si="0"/>
        <v>T0.188MylarPET6027D</v>
      </c>
      <c r="F39" s="23" t="str">
        <f>$D$39&amp;$A$2</f>
        <v>T0.188Mylar</v>
      </c>
      <c r="G39" s="23" t="s">
        <v>529</v>
      </c>
      <c r="H39" s="22"/>
      <c r="I39" s="22"/>
      <c r="J39" s="22"/>
      <c r="K39" s="22"/>
      <c r="L39" s="22"/>
      <c r="M39" s="22"/>
      <c r="N39" s="37"/>
      <c r="O39" s="22"/>
      <c r="P39" s="22"/>
      <c r="Q39" s="22"/>
      <c r="R39" s="22"/>
    </row>
    <row r="40" spans="4:18">
      <c r="D40" s="22"/>
      <c r="E40" s="23" t="str">
        <f t="shared" si="0"/>
        <v>T0.188MylarPET6023D</v>
      </c>
      <c r="F40" s="23" t="str">
        <f>$D$39&amp;$A$2</f>
        <v>T0.188Mylar</v>
      </c>
      <c r="G40" s="23" t="s">
        <v>530</v>
      </c>
      <c r="H40" s="22"/>
      <c r="I40" s="22"/>
      <c r="J40" s="22"/>
      <c r="K40" s="22"/>
      <c r="L40" s="22"/>
      <c r="M40" s="22"/>
      <c r="N40" s="37"/>
      <c r="O40" s="22"/>
      <c r="P40" s="22"/>
      <c r="Q40" s="22"/>
      <c r="R40" s="22"/>
    </row>
    <row r="41" spans="4:18">
      <c r="D41" s="22"/>
      <c r="E41" s="23" t="str">
        <f t="shared" si="0"/>
        <v>T0.188MylarCY28_PET</v>
      </c>
      <c r="F41" s="23" t="str">
        <f>$D$39&amp;$A$2</f>
        <v>T0.188Mylar</v>
      </c>
      <c r="G41" s="35" t="s">
        <v>522</v>
      </c>
      <c r="H41" s="22"/>
      <c r="I41" s="22"/>
      <c r="J41" s="22"/>
      <c r="K41" s="22"/>
      <c r="L41" s="22"/>
      <c r="M41" s="22"/>
      <c r="N41" s="37"/>
      <c r="O41" s="22"/>
      <c r="P41" s="22"/>
      <c r="Q41" s="22"/>
      <c r="R41" s="22"/>
    </row>
    <row r="42" spans="4:18">
      <c r="D42" s="22"/>
      <c r="E42" s="23" t="str">
        <f t="shared" si="0"/>
        <v>T0.188Mylar黑色</v>
      </c>
      <c r="F42" s="23" t="str">
        <f>$D$39&amp;$A$2</f>
        <v>T0.188Mylar</v>
      </c>
      <c r="G42" s="35" t="s">
        <v>657</v>
      </c>
      <c r="H42" s="22"/>
      <c r="I42" s="22"/>
      <c r="J42" s="22"/>
      <c r="K42" s="22"/>
      <c r="L42" s="22"/>
      <c r="M42" s="22"/>
      <c r="N42" s="37"/>
      <c r="O42" s="22"/>
      <c r="P42" s="22"/>
      <c r="Q42" s="22"/>
      <c r="R42" s="22"/>
    </row>
    <row r="43" spans="4:18">
      <c r="D43" s="22"/>
      <c r="E43" s="23" t="str">
        <f t="shared" si="0"/>
        <v>T0.188MylarOther_Fill_ME_Remark</v>
      </c>
      <c r="F43" s="23" t="str">
        <f>$D$39&amp;$A$2</f>
        <v>T0.188Mylar</v>
      </c>
      <c r="G43" s="35" t="s">
        <v>527</v>
      </c>
      <c r="H43" s="22"/>
      <c r="I43" s="22"/>
      <c r="J43" s="22"/>
      <c r="K43" s="22"/>
      <c r="L43" s="22"/>
      <c r="M43" s="22"/>
      <c r="N43" s="37"/>
      <c r="O43" s="22"/>
      <c r="P43" s="22"/>
      <c r="Q43" s="22"/>
      <c r="R43" s="22"/>
    </row>
    <row r="44" spans="4:18">
      <c r="D44" s="22"/>
      <c r="E44" s="23"/>
      <c r="F44" s="23"/>
      <c r="G44" s="35"/>
      <c r="H44" s="22"/>
      <c r="I44" s="22"/>
      <c r="J44" s="22"/>
      <c r="K44" s="22"/>
      <c r="L44" s="22"/>
      <c r="M44" s="22"/>
      <c r="N44" s="37"/>
      <c r="O44" s="22"/>
      <c r="P44" s="22"/>
      <c r="Q44" s="22"/>
      <c r="R44" s="22"/>
    </row>
    <row r="45" spans="4:18">
      <c r="D45" s="22" t="s">
        <v>625</v>
      </c>
      <c r="E45" s="23" t="str">
        <f t="shared" si="0"/>
        <v>T0.25MylarDFR_BK_PP</v>
      </c>
      <c r="F45" s="23" t="str">
        <f t="shared" ref="F45:F54" si="5">$D$45&amp;$A$2</f>
        <v>T0.25Mylar</v>
      </c>
      <c r="G45" s="35" t="s">
        <v>531</v>
      </c>
      <c r="H45" s="22"/>
      <c r="I45" s="22"/>
      <c r="J45" s="22"/>
      <c r="K45" s="22"/>
      <c r="L45" s="22"/>
      <c r="M45" s="22"/>
      <c r="N45" s="37"/>
      <c r="O45" s="22"/>
      <c r="P45" s="22"/>
      <c r="Q45" s="22"/>
      <c r="R45" s="22"/>
    </row>
    <row r="46" spans="4:18">
      <c r="D46" s="22"/>
      <c r="E46" s="23" t="str">
        <f t="shared" si="0"/>
        <v>T0.25MylarCY28_PET</v>
      </c>
      <c r="F46" s="23" t="str">
        <f t="shared" si="5"/>
        <v>T0.25Mylar</v>
      </c>
      <c r="G46" s="35" t="s">
        <v>522</v>
      </c>
      <c r="H46" s="22"/>
      <c r="I46" s="22"/>
      <c r="J46" s="22"/>
      <c r="K46" s="22"/>
      <c r="L46" s="22"/>
      <c r="M46" s="22"/>
      <c r="N46" s="37"/>
      <c r="O46" s="22"/>
      <c r="P46" s="22"/>
      <c r="Q46" s="22"/>
      <c r="R46" s="22"/>
    </row>
    <row r="47" spans="4:18">
      <c r="D47" s="22"/>
      <c r="E47" s="23" t="str">
        <f t="shared" si="0"/>
        <v>T0.25MylarDFR117</v>
      </c>
      <c r="F47" s="23" t="str">
        <f t="shared" si="5"/>
        <v>T0.25Mylar</v>
      </c>
      <c r="G47" s="35" t="s">
        <v>532</v>
      </c>
      <c r="H47" s="22"/>
      <c r="I47" s="22"/>
      <c r="J47" s="22"/>
      <c r="K47" s="22"/>
      <c r="L47" s="22"/>
      <c r="M47" s="22"/>
      <c r="N47" s="37"/>
      <c r="O47" s="22"/>
      <c r="P47" s="22"/>
      <c r="Q47" s="22"/>
      <c r="R47" s="22"/>
    </row>
    <row r="48" spans="4:18">
      <c r="D48" s="22"/>
      <c r="E48" s="23" t="str">
        <f t="shared" si="0"/>
        <v>T0.25MylarPC1860</v>
      </c>
      <c r="F48" s="23" t="str">
        <f t="shared" si="5"/>
        <v>T0.25Mylar</v>
      </c>
      <c r="G48" s="35" t="s">
        <v>523</v>
      </c>
      <c r="H48" s="22"/>
      <c r="I48" s="22"/>
      <c r="J48" s="22"/>
      <c r="K48" s="22"/>
      <c r="L48" s="22"/>
      <c r="M48" s="22"/>
      <c r="N48" s="37"/>
      <c r="O48" s="22"/>
      <c r="P48" s="22"/>
      <c r="Q48" s="22"/>
      <c r="R48" s="22"/>
    </row>
    <row r="49" spans="4:18">
      <c r="D49" s="22"/>
      <c r="E49" s="23" t="str">
        <f t="shared" si="0"/>
        <v>T0.25MylarDFR116ECOB</v>
      </c>
      <c r="F49" s="23" t="str">
        <f t="shared" si="5"/>
        <v>T0.25Mylar</v>
      </c>
      <c r="G49" s="35" t="s">
        <v>534</v>
      </c>
      <c r="H49" s="22"/>
      <c r="I49" s="22"/>
      <c r="J49" s="22"/>
      <c r="K49" s="22"/>
      <c r="L49" s="22"/>
      <c r="M49" s="22"/>
      <c r="N49" s="37"/>
      <c r="O49" s="22"/>
      <c r="P49" s="22"/>
      <c r="Q49" s="22"/>
      <c r="R49" s="22"/>
    </row>
    <row r="50" spans="4:18">
      <c r="D50" s="22"/>
      <c r="E50" s="23" t="str">
        <f t="shared" si="0"/>
        <v>T0.25Mylar黑色</v>
      </c>
      <c r="F50" s="23" t="str">
        <f t="shared" si="5"/>
        <v>T0.25Mylar</v>
      </c>
      <c r="G50" s="35" t="s">
        <v>657</v>
      </c>
      <c r="H50" s="22"/>
      <c r="I50" s="22"/>
      <c r="J50" s="22"/>
      <c r="K50" s="22"/>
      <c r="L50" s="22"/>
      <c r="M50" s="22"/>
      <c r="N50" s="37"/>
      <c r="O50" s="22"/>
      <c r="P50" s="22"/>
      <c r="Q50" s="22"/>
      <c r="R50" s="22"/>
    </row>
    <row r="51" spans="4:18">
      <c r="D51" s="22"/>
      <c r="E51" s="23" t="str">
        <f t="shared" si="0"/>
        <v>T0.25MylarPC8010</v>
      </c>
      <c r="F51" s="23" t="str">
        <f t="shared" si="5"/>
        <v>T0.25Mylar</v>
      </c>
      <c r="G51" s="35" t="s">
        <v>524</v>
      </c>
      <c r="H51" s="22"/>
      <c r="I51" s="22"/>
      <c r="J51" s="22"/>
      <c r="K51" s="22"/>
      <c r="L51" s="22"/>
      <c r="M51" s="22"/>
      <c r="N51" s="37"/>
      <c r="O51" s="22"/>
      <c r="P51" s="22"/>
      <c r="Q51" s="22"/>
      <c r="R51" s="22"/>
    </row>
    <row r="52" spans="4:18">
      <c r="D52" s="22"/>
      <c r="E52" s="23" t="str">
        <f t="shared" si="0"/>
        <v>T0.25Mylar透明PC</v>
      </c>
      <c r="F52" s="23" t="str">
        <f t="shared" si="5"/>
        <v>T0.25Mylar</v>
      </c>
      <c r="G52" s="35" t="s">
        <v>851</v>
      </c>
      <c r="H52" s="22"/>
      <c r="I52" s="22"/>
      <c r="J52" s="22"/>
      <c r="K52" s="22"/>
      <c r="L52" s="22"/>
      <c r="M52" s="22"/>
      <c r="N52" s="37"/>
      <c r="O52" s="22"/>
      <c r="P52" s="22"/>
      <c r="Q52" s="22"/>
      <c r="R52" s="22"/>
    </row>
    <row r="53" spans="4:18">
      <c r="D53" s="152"/>
      <c r="E53" s="153" t="str">
        <f t="shared" si="0"/>
        <v>T0.25MylarPC-DF8D32</v>
      </c>
      <c r="F53" s="153" t="str">
        <f t="shared" si="5"/>
        <v>T0.25Mylar</v>
      </c>
      <c r="G53" s="154" t="s">
        <v>849</v>
      </c>
      <c r="H53" s="22"/>
      <c r="I53" s="22"/>
      <c r="J53" s="22"/>
      <c r="K53" s="22"/>
      <c r="L53" s="22"/>
      <c r="M53" s="22"/>
      <c r="N53" s="37"/>
      <c r="O53" s="22"/>
      <c r="P53" s="22"/>
      <c r="Q53" s="22"/>
      <c r="R53" s="22"/>
    </row>
    <row r="54" spans="4:18">
      <c r="D54" s="22"/>
      <c r="E54" s="23" t="str">
        <f t="shared" si="0"/>
        <v>T0.25MylarOther_Fill_ME_Remark</v>
      </c>
      <c r="F54" s="23" t="str">
        <f t="shared" si="5"/>
        <v>T0.25Mylar</v>
      </c>
      <c r="G54" s="35" t="s">
        <v>852</v>
      </c>
      <c r="H54" s="22"/>
      <c r="I54" s="22"/>
      <c r="J54" s="22"/>
      <c r="K54" s="22"/>
      <c r="L54" s="22"/>
      <c r="M54" s="22"/>
      <c r="N54" s="37"/>
      <c r="O54" s="22"/>
      <c r="P54" s="22"/>
      <c r="Q54" s="22"/>
      <c r="R54" s="22"/>
    </row>
    <row r="55" spans="4:18">
      <c r="D55" s="22"/>
      <c r="E55" s="23"/>
      <c r="F55" s="23"/>
      <c r="G55" s="35"/>
      <c r="H55" s="22"/>
      <c r="I55" s="22"/>
      <c r="J55" s="22"/>
      <c r="K55" s="22"/>
      <c r="L55" s="22"/>
      <c r="M55" s="22"/>
      <c r="N55" s="37"/>
      <c r="O55" s="22"/>
      <c r="P55" s="22"/>
      <c r="Q55" s="22"/>
      <c r="R55" s="22"/>
    </row>
    <row r="56" spans="4:18">
      <c r="D56" s="22" t="s">
        <v>853</v>
      </c>
      <c r="E56" s="23" t="str">
        <f t="shared" si="0"/>
        <v>T0.38MylarDFR117</v>
      </c>
      <c r="F56" s="23" t="str">
        <f t="shared" ref="F56:F62" si="6">$D$56&amp;$A$2</f>
        <v>T0.38Mylar</v>
      </c>
      <c r="G56" s="35" t="s">
        <v>854</v>
      </c>
      <c r="H56" s="22"/>
      <c r="I56" s="22"/>
      <c r="J56" s="22"/>
      <c r="K56" s="22"/>
      <c r="L56" s="22"/>
      <c r="M56" s="22"/>
      <c r="N56" s="37"/>
      <c r="O56" s="22"/>
      <c r="P56" s="22"/>
      <c r="Q56" s="22"/>
      <c r="R56" s="22"/>
    </row>
    <row r="57" spans="4:18">
      <c r="D57" s="22"/>
      <c r="E57" s="23" t="str">
        <f t="shared" si="0"/>
        <v>T0.38MylarDF8D35T</v>
      </c>
      <c r="F57" s="23" t="str">
        <f t="shared" si="6"/>
        <v>T0.38Mylar</v>
      </c>
      <c r="G57" s="35" t="s">
        <v>855</v>
      </c>
      <c r="H57" s="22"/>
      <c r="I57" s="22"/>
      <c r="J57" s="22"/>
      <c r="K57" s="22"/>
      <c r="L57" s="22"/>
      <c r="M57" s="22"/>
      <c r="N57" s="37"/>
      <c r="O57" s="22"/>
      <c r="P57" s="22"/>
      <c r="Q57" s="22"/>
      <c r="R57" s="22"/>
    </row>
    <row r="58" spans="4:18">
      <c r="D58" s="22"/>
      <c r="E58" s="23" t="str">
        <f t="shared" si="0"/>
        <v>T0.38MylarPC1860</v>
      </c>
      <c r="F58" s="23" t="str">
        <f t="shared" si="6"/>
        <v>T0.38Mylar</v>
      </c>
      <c r="G58" s="35" t="s">
        <v>523</v>
      </c>
      <c r="H58" s="22"/>
      <c r="I58" s="22"/>
      <c r="J58" s="22"/>
      <c r="K58" s="22"/>
      <c r="L58" s="22"/>
      <c r="M58" s="22"/>
      <c r="N58" s="37"/>
      <c r="O58" s="22"/>
      <c r="P58" s="22"/>
      <c r="Q58" s="22"/>
      <c r="R58" s="22"/>
    </row>
    <row r="59" spans="4:18">
      <c r="D59" s="22"/>
      <c r="E59" s="23" t="str">
        <f t="shared" si="0"/>
        <v>T0.38Mylar透明PC</v>
      </c>
      <c r="F59" s="23" t="str">
        <f t="shared" si="6"/>
        <v>T0.38Mylar</v>
      </c>
      <c r="G59" s="35" t="s">
        <v>851</v>
      </c>
      <c r="H59" s="22"/>
      <c r="I59" s="22"/>
      <c r="J59" s="22"/>
      <c r="K59" s="22"/>
      <c r="L59" s="22"/>
      <c r="M59" s="22"/>
      <c r="N59" s="37"/>
      <c r="O59" s="22"/>
      <c r="P59" s="22"/>
      <c r="Q59" s="22"/>
      <c r="R59" s="22"/>
    </row>
    <row r="60" spans="4:18">
      <c r="D60" s="22"/>
      <c r="E60" s="23" t="str">
        <f t="shared" si="0"/>
        <v>T0.38MylarPC8010</v>
      </c>
      <c r="F60" s="23" t="str">
        <f t="shared" si="6"/>
        <v>T0.38Mylar</v>
      </c>
      <c r="G60" s="35" t="s">
        <v>494</v>
      </c>
      <c r="H60" s="22"/>
      <c r="I60" s="22"/>
      <c r="J60" s="22"/>
      <c r="K60" s="22"/>
      <c r="L60" s="22"/>
      <c r="M60" s="22"/>
      <c r="N60" s="37"/>
      <c r="O60" s="22"/>
      <c r="P60" s="22"/>
      <c r="Q60" s="22"/>
      <c r="R60" s="22"/>
    </row>
    <row r="61" spans="4:18">
      <c r="D61" s="152"/>
      <c r="E61" s="153" t="str">
        <f t="shared" si="0"/>
        <v>T0.38MylarPC-DF8D32</v>
      </c>
      <c r="F61" s="153" t="str">
        <f t="shared" si="6"/>
        <v>T0.38Mylar</v>
      </c>
      <c r="G61" s="154" t="s">
        <v>849</v>
      </c>
      <c r="H61" s="22"/>
      <c r="I61" s="22"/>
      <c r="J61" s="22"/>
      <c r="K61" s="22"/>
      <c r="L61" s="22"/>
      <c r="M61" s="22"/>
      <c r="N61" s="37"/>
      <c r="O61" s="22"/>
      <c r="P61" s="22"/>
      <c r="Q61" s="22"/>
      <c r="R61" s="22"/>
    </row>
    <row r="62" spans="4:18">
      <c r="D62" s="22"/>
      <c r="E62" s="23" t="str">
        <f t="shared" si="0"/>
        <v>T0.38MylarOther_Fill_ME_Remark</v>
      </c>
      <c r="F62" s="23" t="str">
        <f t="shared" si="6"/>
        <v>T0.38Mylar</v>
      </c>
      <c r="G62" s="35" t="s">
        <v>852</v>
      </c>
      <c r="H62" s="22"/>
      <c r="I62" s="22"/>
      <c r="J62" s="22"/>
      <c r="K62" s="22"/>
      <c r="L62" s="22"/>
      <c r="M62" s="22"/>
      <c r="N62" s="37"/>
      <c r="O62" s="22"/>
      <c r="P62" s="22"/>
      <c r="Q62" s="22"/>
      <c r="R62" s="22"/>
    </row>
    <row r="63" spans="4:18">
      <c r="D63" s="22"/>
      <c r="E63" s="23"/>
      <c r="F63" s="23"/>
      <c r="G63" s="35"/>
      <c r="H63" s="22"/>
      <c r="I63" s="22"/>
      <c r="J63" s="22"/>
      <c r="K63" s="22"/>
      <c r="L63" s="22"/>
      <c r="M63" s="22"/>
      <c r="N63" s="37"/>
      <c r="O63" s="22"/>
      <c r="P63" s="22"/>
      <c r="Q63" s="22"/>
      <c r="R63" s="22"/>
    </row>
    <row r="64" spans="4:18">
      <c r="D64" s="22" t="s">
        <v>856</v>
      </c>
      <c r="E64" s="23" t="str">
        <f t="shared" si="0"/>
        <v>T0.43MylarDFR_BK_PP</v>
      </c>
      <c r="F64" s="23" t="str">
        <f>$D$64&amp;$A$2</f>
        <v>T0.43Mylar</v>
      </c>
      <c r="G64" s="35" t="s">
        <v>857</v>
      </c>
      <c r="H64" s="22"/>
      <c r="I64" s="22"/>
      <c r="J64" s="22"/>
      <c r="K64" s="22"/>
      <c r="L64" s="22"/>
      <c r="M64" s="22"/>
      <c r="N64" s="37"/>
      <c r="O64" s="22"/>
      <c r="P64" s="22"/>
      <c r="Q64" s="22"/>
      <c r="R64" s="22"/>
    </row>
    <row r="65" spans="4:18">
      <c r="D65" s="22"/>
      <c r="E65" s="23" t="str">
        <f t="shared" si="0"/>
        <v>T0.43MylarPC1860</v>
      </c>
      <c r="F65" s="23" t="str">
        <f>$D$64&amp;$A$2</f>
        <v>T0.43Mylar</v>
      </c>
      <c r="G65" s="35" t="s">
        <v>523</v>
      </c>
      <c r="H65" s="22"/>
      <c r="I65" s="22"/>
      <c r="J65" s="22"/>
      <c r="K65" s="22"/>
      <c r="L65" s="22"/>
      <c r="M65" s="22"/>
      <c r="N65" s="37"/>
      <c r="O65" s="22"/>
      <c r="P65" s="22"/>
      <c r="Q65" s="22"/>
      <c r="R65" s="22"/>
    </row>
    <row r="66" spans="4:18">
      <c r="D66" s="22"/>
      <c r="E66" s="23" t="str">
        <f t="shared" si="0"/>
        <v>T0.43MylarDFR117</v>
      </c>
      <c r="F66" s="23" t="str">
        <f>$D$64&amp;$A$2</f>
        <v>T0.43Mylar</v>
      </c>
      <c r="G66" s="35" t="s">
        <v>858</v>
      </c>
      <c r="H66" s="22"/>
      <c r="I66" s="22"/>
      <c r="J66" s="22"/>
      <c r="K66" s="22"/>
      <c r="L66" s="22"/>
      <c r="M66" s="22"/>
      <c r="N66" s="37"/>
      <c r="O66" s="22"/>
      <c r="P66" s="22"/>
      <c r="Q66" s="22"/>
      <c r="R66" s="22"/>
    </row>
    <row r="67" spans="4:18">
      <c r="D67" s="22"/>
      <c r="E67" s="23" t="str">
        <f t="shared" si="0"/>
        <v>T0.43MylarOther_Fill_ME_Remark</v>
      </c>
      <c r="F67" s="23" t="str">
        <f>$D$64&amp;$A$2</f>
        <v>T0.43Mylar</v>
      </c>
      <c r="G67" s="35" t="s">
        <v>859</v>
      </c>
      <c r="H67" s="22"/>
      <c r="I67" s="22"/>
      <c r="J67" s="22"/>
      <c r="K67" s="22"/>
      <c r="L67" s="22"/>
      <c r="M67" s="22"/>
      <c r="N67" s="37"/>
      <c r="O67" s="22"/>
      <c r="P67" s="22"/>
      <c r="Q67" s="22"/>
      <c r="R67" s="22"/>
    </row>
    <row r="68" spans="4:18">
      <c r="D68" s="22"/>
      <c r="E68" s="23"/>
      <c r="F68" s="23"/>
      <c r="G68" s="35"/>
      <c r="H68" s="22"/>
      <c r="I68" s="22"/>
      <c r="J68" s="22"/>
      <c r="K68" s="22"/>
      <c r="L68" s="22"/>
      <c r="M68" s="22"/>
      <c r="N68" s="37"/>
      <c r="O68" s="22"/>
      <c r="P68" s="22"/>
      <c r="Q68" s="22"/>
      <c r="R68" s="22"/>
    </row>
    <row r="69" spans="4:18">
      <c r="D69" s="22" t="s">
        <v>860</v>
      </c>
      <c r="E69" s="23" t="str">
        <f t="shared" si="0"/>
        <v>T0.5MylarPC8010</v>
      </c>
      <c r="F69" s="23" t="str">
        <f>$D$69&amp;$A$2</f>
        <v>T0.5Mylar</v>
      </c>
      <c r="G69" s="35" t="s">
        <v>861</v>
      </c>
      <c r="H69" s="22"/>
      <c r="I69" s="22"/>
      <c r="J69" s="22"/>
      <c r="K69" s="22"/>
      <c r="L69" s="22"/>
      <c r="M69" s="22"/>
      <c r="N69" s="37"/>
      <c r="O69" s="22"/>
      <c r="P69" s="22"/>
      <c r="Q69" s="22"/>
      <c r="R69" s="22"/>
    </row>
    <row r="70" spans="4:18">
      <c r="D70" s="22"/>
      <c r="E70" s="23" t="str">
        <f t="shared" si="0"/>
        <v>T0.5Mylar透明PC</v>
      </c>
      <c r="F70" s="23" t="str">
        <f>$D$69&amp;$A$2</f>
        <v>T0.5Mylar</v>
      </c>
      <c r="G70" s="35" t="s">
        <v>862</v>
      </c>
      <c r="H70" s="22"/>
      <c r="I70" s="22"/>
      <c r="J70" s="22"/>
      <c r="K70" s="22"/>
      <c r="L70" s="22"/>
      <c r="M70" s="22"/>
      <c r="N70" s="37"/>
      <c r="O70" s="22"/>
      <c r="P70" s="22"/>
      <c r="Q70" s="22"/>
      <c r="R70" s="22"/>
    </row>
    <row r="71" spans="4:18">
      <c r="D71" s="22"/>
      <c r="E71" s="23" t="str">
        <f t="shared" si="0"/>
        <v>T0.5MylarPC1860</v>
      </c>
      <c r="F71" s="23" t="str">
        <f>$D$69&amp;$A$2</f>
        <v>T0.5Mylar</v>
      </c>
      <c r="G71" s="35" t="s">
        <v>523</v>
      </c>
      <c r="H71" s="22"/>
      <c r="I71" s="22"/>
      <c r="J71" s="22"/>
      <c r="K71" s="22"/>
      <c r="L71" s="22"/>
      <c r="M71" s="22"/>
      <c r="N71" s="37"/>
      <c r="O71" s="22"/>
      <c r="P71" s="22"/>
      <c r="Q71" s="22"/>
      <c r="R71" s="22"/>
    </row>
    <row r="72" spans="4:18">
      <c r="D72" s="152"/>
      <c r="E72" s="153" t="str">
        <f t="shared" si="0"/>
        <v>T0.5MylarPC-DF8D32</v>
      </c>
      <c r="F72" s="153" t="str">
        <f>$D$69&amp;$A$2</f>
        <v>T0.5Mylar</v>
      </c>
      <c r="G72" s="154" t="s">
        <v>863</v>
      </c>
      <c r="H72" s="22"/>
      <c r="I72" s="22"/>
      <c r="J72" s="22"/>
      <c r="K72" s="22"/>
      <c r="L72" s="22"/>
      <c r="M72" s="22"/>
      <c r="N72" s="37"/>
      <c r="O72" s="22"/>
      <c r="P72" s="22"/>
      <c r="Q72" s="22"/>
      <c r="R72" s="22"/>
    </row>
    <row r="73" spans="4:18">
      <c r="D73" s="22"/>
      <c r="E73" s="23" t="str">
        <f t="shared" si="0"/>
        <v>T0.5MylarOther_Fill_ME_Remark</v>
      </c>
      <c r="F73" s="23" t="str">
        <f>$D$69&amp;$A$2</f>
        <v>T0.5Mylar</v>
      </c>
      <c r="G73" s="35" t="s">
        <v>527</v>
      </c>
      <c r="H73" s="22"/>
      <c r="I73" s="22"/>
      <c r="J73" s="22"/>
      <c r="K73" s="22"/>
      <c r="L73" s="22"/>
      <c r="M73" s="22"/>
      <c r="N73" s="37"/>
      <c r="O73" s="22"/>
      <c r="P73" s="22"/>
      <c r="Q73" s="22"/>
      <c r="R73" s="22"/>
    </row>
    <row r="74" spans="4:18">
      <c r="D74" s="22"/>
      <c r="E74" s="23"/>
      <c r="F74" s="23"/>
      <c r="G74" s="35"/>
      <c r="H74" s="22"/>
      <c r="I74" s="22"/>
      <c r="J74" s="22"/>
      <c r="K74" s="22"/>
      <c r="L74" s="22"/>
      <c r="M74" s="22"/>
      <c r="N74" s="37"/>
      <c r="O74" s="22"/>
      <c r="P74" s="22"/>
      <c r="Q74" s="22"/>
      <c r="R74" s="22"/>
    </row>
    <row r="75" spans="4:18">
      <c r="D75" s="22" t="s">
        <v>864</v>
      </c>
      <c r="E75" s="23" t="str">
        <f t="shared" ref="E75:E87" si="7">F75&amp;G75</f>
        <v>T0.76MylarDFR_BK_PP</v>
      </c>
      <c r="F75" s="23" t="str">
        <f>$D$75&amp;$A$2</f>
        <v>T0.76Mylar</v>
      </c>
      <c r="G75" s="35" t="s">
        <v>865</v>
      </c>
      <c r="H75" s="22"/>
      <c r="I75" s="22"/>
      <c r="J75" s="22"/>
      <c r="K75" s="22"/>
      <c r="L75" s="22"/>
      <c r="M75" s="22"/>
      <c r="N75" s="37"/>
      <c r="O75" s="22"/>
      <c r="P75" s="22"/>
      <c r="Q75" s="22"/>
      <c r="R75" s="22"/>
    </row>
    <row r="76" spans="4:18">
      <c r="D76" s="22"/>
      <c r="E76" s="23" t="str">
        <f t="shared" si="7"/>
        <v>T0.76MylarPC1860</v>
      </c>
      <c r="F76" s="23" t="str">
        <f>$D$75&amp;$A$2</f>
        <v>T0.76Mylar</v>
      </c>
      <c r="G76" s="35" t="s">
        <v>533</v>
      </c>
      <c r="H76" s="22"/>
      <c r="I76" s="22"/>
      <c r="J76" s="22"/>
      <c r="K76" s="22"/>
      <c r="L76" s="22"/>
      <c r="M76" s="22"/>
      <c r="N76" s="37"/>
      <c r="O76" s="22"/>
      <c r="P76" s="22"/>
      <c r="Q76" s="22"/>
      <c r="R76" s="22"/>
    </row>
    <row r="77" spans="4:18">
      <c r="D77" s="22"/>
      <c r="E77" s="23" t="str">
        <f t="shared" si="7"/>
        <v>T0.76MylarDFR117</v>
      </c>
      <c r="F77" s="23" t="str">
        <f>$D$75&amp;$A$2</f>
        <v>T0.76Mylar</v>
      </c>
      <c r="G77" s="35" t="s">
        <v>532</v>
      </c>
      <c r="H77" s="22"/>
      <c r="I77" s="22"/>
      <c r="J77" s="22"/>
      <c r="K77" s="22"/>
      <c r="L77" s="22"/>
      <c r="M77" s="22"/>
      <c r="N77" s="37"/>
      <c r="O77" s="22"/>
      <c r="P77" s="22"/>
      <c r="Q77" s="22"/>
      <c r="R77" s="22"/>
    </row>
    <row r="78" spans="4:18">
      <c r="D78" s="22"/>
      <c r="E78" s="23" t="str">
        <f t="shared" si="7"/>
        <v>T0.76MylarOther_Fill_ME_Remark</v>
      </c>
      <c r="F78" s="23" t="str">
        <f>$D$75&amp;$A$2</f>
        <v>T0.76Mylar</v>
      </c>
      <c r="G78" s="35" t="s">
        <v>527</v>
      </c>
      <c r="H78" s="22"/>
      <c r="I78" s="22"/>
      <c r="J78" s="22"/>
      <c r="K78" s="22"/>
      <c r="L78" s="22"/>
      <c r="M78" s="22"/>
      <c r="N78" s="37"/>
      <c r="O78" s="22"/>
      <c r="P78" s="22"/>
      <c r="Q78" s="22"/>
      <c r="R78" s="22"/>
    </row>
    <row r="79" spans="4:18">
      <c r="D79" s="22"/>
      <c r="E79" s="23"/>
      <c r="F79" s="23"/>
      <c r="G79" s="35"/>
      <c r="H79" s="22"/>
      <c r="I79" s="22"/>
      <c r="J79" s="22"/>
      <c r="K79" s="22"/>
      <c r="L79" s="22"/>
      <c r="M79" s="22"/>
      <c r="N79" s="37"/>
      <c r="O79" s="22"/>
      <c r="P79" s="22"/>
      <c r="Q79" s="22"/>
      <c r="R79" s="22"/>
    </row>
    <row r="80" spans="4:18">
      <c r="D80" s="22" t="s">
        <v>536</v>
      </c>
      <c r="E80" s="23" t="str">
        <f t="shared" si="7"/>
        <v>T0.8MylarPC8010</v>
      </c>
      <c r="F80" s="23" t="str">
        <f>$D$80&amp;$A$2</f>
        <v>T0.8Mylar</v>
      </c>
      <c r="G80" s="35" t="s">
        <v>494</v>
      </c>
      <c r="H80" s="22"/>
      <c r="I80" s="22"/>
      <c r="J80" s="22"/>
      <c r="K80" s="22"/>
      <c r="L80" s="22"/>
      <c r="M80" s="22"/>
      <c r="N80" s="37"/>
      <c r="O80" s="22"/>
      <c r="P80" s="22"/>
      <c r="Q80" s="22"/>
      <c r="R80" s="22"/>
    </row>
    <row r="81" spans="1:18">
      <c r="D81" s="22"/>
      <c r="E81" s="23" t="str">
        <f t="shared" si="7"/>
        <v>T0.8Mylar透明PC</v>
      </c>
      <c r="F81" s="23" t="str">
        <f>$D$80&amp;$A$2</f>
        <v>T0.8Mylar</v>
      </c>
      <c r="G81" s="35" t="s">
        <v>851</v>
      </c>
      <c r="H81" s="22"/>
      <c r="I81" s="22"/>
      <c r="J81" s="22"/>
      <c r="K81" s="22"/>
      <c r="L81" s="22"/>
      <c r="M81" s="22"/>
      <c r="N81" s="37"/>
      <c r="O81" s="22"/>
      <c r="P81" s="22"/>
      <c r="Q81" s="22"/>
      <c r="R81" s="22"/>
    </row>
    <row r="82" spans="1:18">
      <c r="D82" s="22"/>
      <c r="E82" s="23" t="str">
        <f t="shared" si="7"/>
        <v>T0.8MylarOther_Fill_ME_Remark</v>
      </c>
      <c r="F82" s="23" t="str">
        <f>$D$80&amp;$A$2</f>
        <v>T0.8Mylar</v>
      </c>
      <c r="G82" s="35" t="s">
        <v>527</v>
      </c>
      <c r="H82" s="22"/>
      <c r="I82" s="22"/>
      <c r="J82" s="22"/>
      <c r="K82" s="22"/>
      <c r="L82" s="22"/>
      <c r="M82" s="22"/>
      <c r="N82" s="37"/>
      <c r="O82" s="22"/>
      <c r="P82" s="22"/>
      <c r="Q82" s="22"/>
      <c r="R82" s="22"/>
    </row>
    <row r="83" spans="1:18">
      <c r="D83" s="22"/>
      <c r="E83" s="23"/>
      <c r="F83" s="23"/>
      <c r="G83" s="35"/>
      <c r="H83" s="22"/>
      <c r="I83" s="22"/>
      <c r="J83" s="22"/>
      <c r="K83" s="22"/>
      <c r="L83" s="22"/>
      <c r="M83" s="22"/>
      <c r="N83" s="37"/>
      <c r="O83" s="22"/>
      <c r="P83" s="22"/>
      <c r="Q83" s="22"/>
      <c r="R83" s="22"/>
    </row>
    <row r="84" spans="1:18">
      <c r="D84" s="22" t="s">
        <v>537</v>
      </c>
      <c r="E84" s="23" t="str">
        <f t="shared" si="7"/>
        <v>T1.0MylarPC8010</v>
      </c>
      <c r="F84" s="23" t="str">
        <f>$D$84&amp;$A$2</f>
        <v>T1.0Mylar</v>
      </c>
      <c r="G84" s="35" t="s">
        <v>494</v>
      </c>
      <c r="H84" s="22"/>
      <c r="I84" s="22"/>
      <c r="J84" s="22"/>
      <c r="K84" s="22"/>
      <c r="L84" s="22"/>
      <c r="M84" s="22"/>
      <c r="N84" s="37"/>
      <c r="O84" s="22"/>
      <c r="P84" s="22"/>
      <c r="Q84" s="22"/>
      <c r="R84" s="22"/>
    </row>
    <row r="85" spans="1:18">
      <c r="D85" s="22"/>
      <c r="E85" s="23" t="str">
        <f t="shared" si="7"/>
        <v>T1.0Mylar透明PC</v>
      </c>
      <c r="F85" s="23" t="str">
        <f>$D$84&amp;$A$2</f>
        <v>T1.0Mylar</v>
      </c>
      <c r="G85" s="35" t="s">
        <v>851</v>
      </c>
      <c r="H85" s="22"/>
      <c r="I85" s="22"/>
      <c r="J85" s="22"/>
      <c r="K85" s="22"/>
      <c r="L85" s="22"/>
      <c r="M85" s="22"/>
      <c r="N85" s="37"/>
      <c r="O85" s="22"/>
      <c r="P85" s="22"/>
      <c r="Q85" s="22"/>
      <c r="R85" s="22"/>
    </row>
    <row r="86" spans="1:18">
      <c r="D86" s="22"/>
      <c r="E86" s="23" t="str">
        <f t="shared" si="7"/>
        <v>T1.0MylarPC1860</v>
      </c>
      <c r="F86" s="23" t="str">
        <f>$D$84&amp;$A$2</f>
        <v>T1.0Mylar</v>
      </c>
      <c r="G86" s="35" t="s">
        <v>523</v>
      </c>
      <c r="H86" s="22"/>
      <c r="I86" s="22"/>
      <c r="J86" s="22"/>
      <c r="K86" s="22"/>
      <c r="L86" s="22"/>
      <c r="M86" s="22"/>
      <c r="N86" s="37"/>
      <c r="O86" s="22"/>
      <c r="P86" s="22"/>
      <c r="Q86" s="22"/>
      <c r="R86" s="22"/>
    </row>
    <row r="87" spans="1:18">
      <c r="D87" s="22"/>
      <c r="E87" s="23" t="str">
        <f t="shared" si="7"/>
        <v>T1.0MylarOther_Fill_ME_Remark</v>
      </c>
      <c r="F87" s="23" t="str">
        <f>$D$84&amp;$A$2</f>
        <v>T1.0Mylar</v>
      </c>
      <c r="G87" s="35" t="s">
        <v>852</v>
      </c>
      <c r="H87" s="22"/>
      <c r="I87" s="22"/>
      <c r="J87" s="22"/>
      <c r="K87" s="22"/>
      <c r="L87" s="22"/>
      <c r="M87" s="22"/>
      <c r="N87" s="37"/>
      <c r="O87" s="22"/>
      <c r="P87" s="22"/>
      <c r="Q87" s="22"/>
      <c r="R87" s="22"/>
    </row>
    <row r="88" spans="1:18">
      <c r="D88" s="22"/>
      <c r="E88" s="22"/>
      <c r="F88" s="23"/>
      <c r="G88" s="35"/>
      <c r="H88" s="22"/>
      <c r="I88" s="22"/>
      <c r="J88" s="22"/>
      <c r="K88" s="22"/>
      <c r="L88" s="22"/>
      <c r="M88" s="22"/>
      <c r="N88" s="37"/>
      <c r="O88" s="22"/>
      <c r="P88" s="22"/>
      <c r="Q88" s="22"/>
      <c r="R88" s="22"/>
    </row>
    <row r="89" spans="1:18">
      <c r="D89" s="26"/>
      <c r="E89" s="26"/>
      <c r="F89" s="24"/>
      <c r="G89" s="38"/>
      <c r="H89" s="22"/>
      <c r="I89" s="22"/>
      <c r="J89" s="22"/>
      <c r="K89" s="22"/>
      <c r="L89" s="22"/>
      <c r="M89" s="22"/>
      <c r="N89" s="37"/>
      <c r="O89" s="22"/>
      <c r="P89" s="22"/>
      <c r="Q89" s="22"/>
      <c r="R89" s="22"/>
    </row>
    <row r="90" spans="1:18">
      <c r="H90" s="22"/>
      <c r="I90" s="22"/>
      <c r="J90" s="22"/>
      <c r="K90" s="22"/>
      <c r="L90" s="22"/>
      <c r="M90" s="22"/>
      <c r="N90" s="37"/>
      <c r="O90" s="22"/>
      <c r="P90" s="22"/>
      <c r="Q90" s="22"/>
      <c r="R90" s="22"/>
    </row>
    <row r="91" spans="1:18">
      <c r="D91" s="26"/>
      <c r="E91" s="27"/>
      <c r="F91" s="24"/>
      <c r="G91" s="41"/>
      <c r="H91" s="22"/>
      <c r="I91" s="22"/>
      <c r="J91" s="22"/>
      <c r="K91" s="22"/>
      <c r="L91" s="22"/>
      <c r="M91" s="22"/>
      <c r="N91" s="37"/>
      <c r="O91" s="22"/>
      <c r="P91" s="22"/>
      <c r="Q91" s="22"/>
      <c r="R91" s="22"/>
    </row>
    <row r="92" spans="1:18">
      <c r="A92" s="29" t="s">
        <v>866</v>
      </c>
      <c r="B92" s="30" t="s">
        <v>495</v>
      </c>
      <c r="D92" s="29" t="s">
        <v>101</v>
      </c>
      <c r="E92" s="29" t="s">
        <v>867</v>
      </c>
      <c r="F92" s="30" t="s">
        <v>495</v>
      </c>
      <c r="G92" s="31" t="s">
        <v>142</v>
      </c>
      <c r="H92" s="22"/>
      <c r="I92" s="22"/>
      <c r="J92" s="33"/>
      <c r="K92" s="33"/>
      <c r="L92" s="33"/>
      <c r="M92" s="33"/>
      <c r="N92" s="37"/>
      <c r="O92" s="33"/>
      <c r="P92" s="33"/>
      <c r="Q92" s="33"/>
      <c r="R92" s="33"/>
    </row>
    <row r="93" spans="1:18">
      <c r="A93" s="152">
        <v>1</v>
      </c>
      <c r="B93" s="153" t="str">
        <f>D93&amp;$A92</f>
        <v>T0.2Sponge</v>
      </c>
      <c r="C93" s="24"/>
      <c r="D93" s="22" t="s">
        <v>538</v>
      </c>
      <c r="E93" s="23" t="str">
        <f>F93&amp;G93</f>
        <v>T0.2SpongeKVH200</v>
      </c>
      <c r="F93" s="23" t="str">
        <f>D93&amp;$A$92</f>
        <v>T0.2Sponge</v>
      </c>
      <c r="G93" s="35" t="s">
        <v>195</v>
      </c>
      <c r="H93" s="22"/>
      <c r="I93" s="22"/>
      <c r="J93" s="22"/>
      <c r="K93" s="22"/>
      <c r="L93" s="22"/>
      <c r="M93" s="22"/>
      <c r="N93" s="37"/>
      <c r="O93" s="22"/>
      <c r="P93" s="22"/>
      <c r="Q93" s="22"/>
      <c r="R93" s="22"/>
    </row>
    <row r="94" spans="1:18">
      <c r="A94" s="152">
        <v>2</v>
      </c>
      <c r="B94" s="153" t="str">
        <f>D98&amp;$A92</f>
        <v>T0.3Sponge</v>
      </c>
      <c r="C94" s="42"/>
      <c r="D94" s="22"/>
      <c r="E94" s="23" t="str">
        <f>F94&amp;G94</f>
        <v>T0.2SpongePORON_SRS32P</v>
      </c>
      <c r="F94" s="23" t="str">
        <f>D93&amp;$A$92</f>
        <v>T0.2Sponge</v>
      </c>
      <c r="G94" s="35" t="s">
        <v>868</v>
      </c>
      <c r="H94" s="22"/>
      <c r="I94" s="22"/>
      <c r="J94" s="22"/>
      <c r="K94" s="22"/>
      <c r="L94" s="22"/>
      <c r="M94" s="22"/>
      <c r="N94" s="37"/>
      <c r="O94" s="22"/>
      <c r="P94" s="22"/>
      <c r="Q94" s="22"/>
      <c r="R94" s="22"/>
    </row>
    <row r="95" spans="1:18">
      <c r="A95" s="152">
        <v>3</v>
      </c>
      <c r="B95" s="153" t="str">
        <f>D103&amp;$A92</f>
        <v>T0.4Sponge</v>
      </c>
      <c r="C95" s="24"/>
      <c r="D95" s="152"/>
      <c r="E95" s="153" t="str">
        <f>F95&amp;G95</f>
        <v>T0.2SpongePORON_SRS70P</v>
      </c>
      <c r="F95" s="153" t="str">
        <f>D93&amp;$A$92</f>
        <v>T0.2Sponge</v>
      </c>
      <c r="G95" s="154" t="s">
        <v>869</v>
      </c>
      <c r="H95" s="22"/>
      <c r="I95" s="22"/>
      <c r="J95" s="22"/>
      <c r="K95" s="22"/>
      <c r="L95" s="22"/>
      <c r="M95" s="22"/>
      <c r="N95" s="37"/>
      <c r="O95" s="22"/>
      <c r="P95" s="22"/>
      <c r="Q95" s="22"/>
      <c r="R95" s="22"/>
    </row>
    <row r="96" spans="1:18">
      <c r="A96" s="22">
        <v>4</v>
      </c>
      <c r="B96" s="23" t="str">
        <f>D107&amp;$A92</f>
        <v>T0.5Sponge</v>
      </c>
      <c r="C96" s="24"/>
      <c r="D96" s="22"/>
      <c r="E96" s="23" t="str">
        <f>F96&amp;G96</f>
        <v>T0.2SpongeOther_Fill_ME_Remark</v>
      </c>
      <c r="F96" s="23" t="str">
        <f>D93&amp;$A$92</f>
        <v>T0.2Sponge</v>
      </c>
      <c r="G96" s="35" t="s">
        <v>527</v>
      </c>
      <c r="H96" s="22"/>
      <c r="I96" s="22"/>
      <c r="J96" s="22"/>
      <c r="K96" s="22"/>
      <c r="L96" s="22"/>
      <c r="M96" s="22"/>
      <c r="N96" s="37"/>
      <c r="O96" s="22"/>
      <c r="P96" s="22"/>
      <c r="Q96" s="22"/>
      <c r="R96" s="22"/>
    </row>
    <row r="97" spans="1:18">
      <c r="A97" s="152">
        <v>5</v>
      </c>
      <c r="B97" s="153" t="str">
        <f>D121&amp;$A$92</f>
        <v>T0.6Sponge</v>
      </c>
      <c r="C97" s="24"/>
      <c r="D97" s="22"/>
      <c r="E97" s="23" t="str">
        <f t="shared" ref="E97:E184" si="8">F97&amp;G97</f>
        <v/>
      </c>
      <c r="F97" s="23"/>
      <c r="G97" s="35"/>
      <c r="H97" s="22"/>
      <c r="I97" s="22"/>
      <c r="J97" s="22"/>
      <c r="K97" s="22"/>
      <c r="L97" s="22"/>
      <c r="M97" s="22"/>
      <c r="N97" s="37"/>
      <c r="O97" s="22"/>
      <c r="P97" s="22"/>
      <c r="Q97" s="22"/>
      <c r="R97" s="22"/>
    </row>
    <row r="98" spans="1:18">
      <c r="A98" s="152">
        <v>6</v>
      </c>
      <c r="B98" s="153" t="str">
        <f>D125&amp;$A$92</f>
        <v>T0.7Sponge</v>
      </c>
      <c r="C98" s="24"/>
      <c r="D98" s="22" t="s">
        <v>540</v>
      </c>
      <c r="E98" s="23" t="str">
        <f>F98&amp;G98</f>
        <v>T0.3SpongeKVH200</v>
      </c>
      <c r="F98" s="23" t="str">
        <f>D98&amp;$A$92</f>
        <v>T0.3Sponge</v>
      </c>
      <c r="G98" s="35" t="s">
        <v>195</v>
      </c>
      <c r="H98" s="22"/>
      <c r="I98" s="22"/>
      <c r="J98" s="22"/>
      <c r="K98" s="22"/>
      <c r="L98" s="22"/>
      <c r="M98" s="22"/>
      <c r="N98" s="37"/>
      <c r="O98" s="22"/>
      <c r="P98" s="22"/>
      <c r="Q98" s="22"/>
      <c r="R98" s="22"/>
    </row>
    <row r="99" spans="1:18">
      <c r="A99" s="22">
        <v>7</v>
      </c>
      <c r="B99" s="23" t="str">
        <f>D133&amp;$A$92</f>
        <v>T0.8Sponge</v>
      </c>
      <c r="C99" s="24"/>
      <c r="D99" s="22"/>
      <c r="E99" s="23" t="str">
        <f>F99&amp;G99</f>
        <v>T0.3SpongePORON_SRS48P</v>
      </c>
      <c r="F99" s="23" t="str">
        <f>D98&amp;$A$92</f>
        <v>T0.3Sponge</v>
      </c>
      <c r="G99" s="35" t="s">
        <v>870</v>
      </c>
      <c r="H99" s="22"/>
      <c r="I99" s="22"/>
      <c r="J99" s="22"/>
      <c r="K99" s="22"/>
      <c r="L99" s="22"/>
      <c r="M99" s="22"/>
      <c r="N99" s="37"/>
      <c r="O99" s="22"/>
      <c r="P99" s="22"/>
      <c r="Q99" s="22"/>
      <c r="R99" s="22"/>
    </row>
    <row r="100" spans="1:18">
      <c r="A100" s="152">
        <v>8</v>
      </c>
      <c r="B100" s="153" t="str">
        <f>D139&amp;$A$92</f>
        <v>T0.9Sponge</v>
      </c>
      <c r="C100" s="24"/>
      <c r="D100" s="22"/>
      <c r="E100" s="23" t="str">
        <f>F100&amp;G100</f>
        <v>T0.3SpongeSFL</v>
      </c>
      <c r="F100" s="23" t="str">
        <f>D98&amp;$A$92</f>
        <v>T0.3Sponge</v>
      </c>
      <c r="G100" s="35" t="s">
        <v>871</v>
      </c>
      <c r="H100" s="22"/>
      <c r="I100" s="22"/>
      <c r="J100" s="22"/>
      <c r="K100" s="22"/>
      <c r="L100" s="22"/>
      <c r="M100" s="22"/>
      <c r="N100" s="37"/>
      <c r="O100" s="22"/>
      <c r="P100" s="22"/>
      <c r="Q100" s="22"/>
      <c r="R100" s="22"/>
    </row>
    <row r="101" spans="1:18">
      <c r="A101" s="22">
        <v>9</v>
      </c>
      <c r="B101" s="23" t="str">
        <f>D142&amp;$A$92</f>
        <v>T1.0Sponge</v>
      </c>
      <c r="C101" s="24"/>
      <c r="D101" s="22"/>
      <c r="E101" s="23" t="str">
        <f t="shared" si="8"/>
        <v>T0.3SpongeOther_Fill_ME_Remark</v>
      </c>
      <c r="F101" s="23" t="str">
        <f>D98&amp;$A$92</f>
        <v>T0.3Sponge</v>
      </c>
      <c r="G101" s="35" t="s">
        <v>527</v>
      </c>
      <c r="H101" s="22"/>
      <c r="I101" s="22"/>
      <c r="J101" s="22"/>
      <c r="K101" s="22"/>
      <c r="L101" s="22"/>
      <c r="M101" s="22"/>
      <c r="N101" s="37"/>
      <c r="O101" s="22"/>
      <c r="P101" s="22"/>
      <c r="Q101" s="22"/>
      <c r="R101" s="22"/>
    </row>
    <row r="102" spans="1:18">
      <c r="A102" s="22">
        <v>10</v>
      </c>
      <c r="B102" s="23" t="str">
        <f>D159&amp;$A$92</f>
        <v>T1.5Sponge</v>
      </c>
      <c r="C102" s="24"/>
      <c r="D102" s="22"/>
      <c r="E102" s="23" t="str">
        <f t="shared" si="8"/>
        <v/>
      </c>
      <c r="F102" s="23"/>
      <c r="G102" s="35"/>
      <c r="H102" s="22"/>
      <c r="I102" s="22"/>
      <c r="J102" s="22"/>
      <c r="K102" s="22"/>
      <c r="L102" s="22"/>
      <c r="M102" s="22"/>
      <c r="N102" s="37"/>
      <c r="O102" s="22"/>
      <c r="P102" s="22"/>
      <c r="Q102" s="22"/>
      <c r="R102" s="22"/>
    </row>
    <row r="103" spans="1:18">
      <c r="A103" s="22">
        <v>11</v>
      </c>
      <c r="B103" s="23" t="str">
        <f>D172&amp;$A$92</f>
        <v>T2.0Sponge</v>
      </c>
      <c r="C103" s="24"/>
      <c r="D103" s="22" t="s">
        <v>543</v>
      </c>
      <c r="E103" s="23" t="str">
        <f>F103&amp;G103</f>
        <v>T0.4SpongeKVH200</v>
      </c>
      <c r="F103" s="23" t="str">
        <f>D103&amp;$A$92</f>
        <v>T0.4Sponge</v>
      </c>
      <c r="G103" s="35" t="s">
        <v>195</v>
      </c>
      <c r="H103" s="22"/>
      <c r="I103" s="22"/>
      <c r="J103" s="22"/>
      <c r="K103" s="22"/>
      <c r="L103" s="22"/>
      <c r="M103" s="22"/>
      <c r="N103" s="37"/>
      <c r="O103" s="22"/>
      <c r="P103" s="22"/>
      <c r="Q103" s="22"/>
      <c r="R103" s="22"/>
    </row>
    <row r="104" spans="1:18">
      <c r="A104" s="22">
        <v>12</v>
      </c>
      <c r="B104" s="23" t="str">
        <f>D183&amp;$A$92</f>
        <v>T2.5Sponge</v>
      </c>
      <c r="C104" s="24"/>
      <c r="D104" s="22"/>
      <c r="E104" s="23" t="str">
        <f>F104&amp;G104</f>
        <v>T0.4SpongePORON_SRS40P</v>
      </c>
      <c r="F104" s="23" t="str">
        <f>D103&amp;$A$92</f>
        <v>T0.4Sponge</v>
      </c>
      <c r="G104" s="35" t="s">
        <v>872</v>
      </c>
      <c r="H104" s="22"/>
      <c r="I104" s="22"/>
      <c r="J104" s="22"/>
      <c r="K104" s="22"/>
      <c r="L104" s="22"/>
      <c r="M104" s="22"/>
      <c r="N104" s="37"/>
      <c r="O104" s="22"/>
      <c r="P104" s="22"/>
      <c r="Q104" s="22"/>
      <c r="R104" s="22"/>
    </row>
    <row r="105" spans="1:18">
      <c r="A105" s="22">
        <v>13</v>
      </c>
      <c r="B105" s="23" t="str">
        <f>D192&amp;$A$92</f>
        <v>T3.0Sponge</v>
      </c>
      <c r="C105" s="24"/>
      <c r="D105" s="22"/>
      <c r="E105" s="23" t="str">
        <f t="shared" si="8"/>
        <v>T0.4SpongeOther_Fill_ME_Remark</v>
      </c>
      <c r="F105" s="23" t="str">
        <f>D103&amp;$A$92</f>
        <v>T0.4Sponge</v>
      </c>
      <c r="G105" s="35" t="s">
        <v>859</v>
      </c>
      <c r="H105" s="22"/>
      <c r="I105" s="22"/>
      <c r="J105" s="22"/>
      <c r="K105" s="22"/>
      <c r="L105" s="22"/>
      <c r="M105" s="22"/>
      <c r="N105" s="37"/>
      <c r="O105" s="22"/>
      <c r="P105" s="22"/>
      <c r="Q105" s="22"/>
      <c r="R105" s="22"/>
    </row>
    <row r="106" spans="1:18">
      <c r="A106" s="22">
        <v>14</v>
      </c>
      <c r="B106" s="23" t="str">
        <f>D201&amp;$A$92</f>
        <v>T3.5Sponge</v>
      </c>
      <c r="C106" s="24"/>
      <c r="D106" s="22"/>
      <c r="E106" s="23" t="str">
        <f t="shared" si="8"/>
        <v/>
      </c>
      <c r="F106" s="23"/>
      <c r="G106" s="35"/>
      <c r="H106" s="22"/>
      <c r="I106" s="22"/>
      <c r="J106" s="22"/>
      <c r="K106" s="22"/>
      <c r="L106" s="22"/>
      <c r="M106" s="22"/>
      <c r="N106" s="37"/>
      <c r="O106" s="22"/>
      <c r="P106" s="22"/>
      <c r="Q106" s="22"/>
      <c r="R106" s="22"/>
    </row>
    <row r="107" spans="1:18">
      <c r="A107" s="22">
        <v>15</v>
      </c>
      <c r="B107" s="23" t="str">
        <f>D206&amp;$A$92</f>
        <v>T4.0Sponge</v>
      </c>
      <c r="C107" s="24"/>
      <c r="D107" s="22" t="s">
        <v>860</v>
      </c>
      <c r="E107" s="23" t="str">
        <f t="shared" si="8"/>
        <v>T0.5SpongeCR1015</v>
      </c>
      <c r="F107" s="23" t="str">
        <f>D107&amp;$A$92</f>
        <v>T0.5Sponge</v>
      </c>
      <c r="G107" s="35" t="s">
        <v>873</v>
      </c>
      <c r="H107" s="22"/>
      <c r="I107" s="22"/>
      <c r="J107" s="22"/>
      <c r="K107" s="22"/>
      <c r="L107" s="22"/>
      <c r="M107" s="22"/>
      <c r="N107" s="37"/>
      <c r="O107" s="22"/>
      <c r="P107" s="22"/>
      <c r="Q107" s="22"/>
      <c r="R107" s="22"/>
    </row>
    <row r="108" spans="1:18">
      <c r="A108" s="22">
        <v>16</v>
      </c>
      <c r="B108" s="23" t="str">
        <f>D212&amp;$A$92</f>
        <v>T4.5Sponge</v>
      </c>
      <c r="C108" s="24"/>
      <c r="D108" s="22"/>
      <c r="E108" s="23" t="str">
        <f t="shared" si="8"/>
        <v>T0.5SpongeEVA</v>
      </c>
      <c r="F108" s="23" t="str">
        <f>D107&amp;$A$92</f>
        <v>T0.5Sponge</v>
      </c>
      <c r="G108" s="35" t="s">
        <v>874</v>
      </c>
      <c r="H108" s="22"/>
      <c r="I108" s="22"/>
      <c r="J108" s="22"/>
      <c r="K108" s="22"/>
      <c r="L108" s="22"/>
      <c r="M108" s="22"/>
      <c r="N108" s="37"/>
      <c r="O108" s="22"/>
      <c r="P108" s="22"/>
      <c r="Q108" s="22"/>
      <c r="R108" s="22"/>
    </row>
    <row r="109" spans="1:18">
      <c r="A109" s="22">
        <v>17</v>
      </c>
      <c r="B109" s="23" t="str">
        <f>D219&amp;$A$92</f>
        <v>T5.0Sponge</v>
      </c>
      <c r="C109" s="24"/>
      <c r="D109" s="22"/>
      <c r="E109" s="23" t="str">
        <f t="shared" si="8"/>
        <v>T0.5SpongeE4308</v>
      </c>
      <c r="F109" s="23" t="str">
        <f>D107&amp;$A$92</f>
        <v>T0.5Sponge</v>
      </c>
      <c r="G109" s="35" t="s">
        <v>875</v>
      </c>
      <c r="H109" s="22"/>
      <c r="I109" s="22"/>
      <c r="J109" s="22"/>
      <c r="K109" s="22"/>
      <c r="L109" s="22"/>
      <c r="M109" s="22"/>
      <c r="N109" s="37"/>
      <c r="O109" s="22"/>
      <c r="P109" s="22"/>
      <c r="Q109" s="22"/>
      <c r="R109" s="22"/>
    </row>
    <row r="110" spans="1:18">
      <c r="A110" s="22">
        <v>18</v>
      </c>
      <c r="B110" s="23" t="s">
        <v>604</v>
      </c>
      <c r="C110" s="24"/>
      <c r="D110" s="22"/>
      <c r="E110" s="23" t="str">
        <f t="shared" si="8"/>
        <v>T0.5SpongeYU55</v>
      </c>
      <c r="F110" s="23" t="str">
        <f>D107&amp;$A$92</f>
        <v>T0.5Sponge</v>
      </c>
      <c r="G110" s="35" t="s">
        <v>876</v>
      </c>
      <c r="H110" s="22"/>
      <c r="I110" s="22"/>
      <c r="J110" s="22"/>
      <c r="K110" s="22"/>
      <c r="L110" s="22"/>
      <c r="M110" s="22"/>
      <c r="N110" s="37"/>
      <c r="O110" s="22"/>
      <c r="P110" s="22"/>
      <c r="Q110" s="22"/>
      <c r="R110" s="22"/>
    </row>
    <row r="111" spans="1:18">
      <c r="A111" s="26"/>
      <c r="B111" s="24"/>
      <c r="C111" s="24"/>
      <c r="D111" s="22"/>
      <c r="E111" s="23" t="str">
        <f t="shared" si="8"/>
        <v>T0.5SpongeYU356</v>
      </c>
      <c r="F111" s="23" t="str">
        <f>D107&amp;$A$92</f>
        <v>T0.5Sponge</v>
      </c>
      <c r="G111" s="35" t="s">
        <v>877</v>
      </c>
      <c r="H111" s="22"/>
      <c r="I111" s="22"/>
      <c r="J111" s="22"/>
      <c r="K111" s="22"/>
      <c r="L111" s="22"/>
      <c r="M111" s="22"/>
      <c r="N111" s="37"/>
      <c r="O111" s="22"/>
      <c r="P111" s="22"/>
      <c r="Q111" s="22"/>
      <c r="R111" s="22"/>
    </row>
    <row r="112" spans="1:18">
      <c r="A112" s="26"/>
      <c r="B112" s="24"/>
      <c r="C112" s="24"/>
      <c r="D112" s="22"/>
      <c r="E112" s="23" t="str">
        <f t="shared" si="8"/>
        <v>T0.5SpongeE4382</v>
      </c>
      <c r="F112" s="23" t="str">
        <f t="shared" ref="F112:F119" si="9">$D$107&amp;$A$92</f>
        <v>T0.5Sponge</v>
      </c>
      <c r="G112" s="35" t="s">
        <v>138</v>
      </c>
      <c r="H112" s="22"/>
      <c r="I112" s="22"/>
      <c r="J112" s="22"/>
      <c r="K112" s="22"/>
      <c r="L112" s="22"/>
      <c r="M112" s="22"/>
      <c r="N112" s="37"/>
      <c r="O112" s="22"/>
      <c r="P112" s="22"/>
      <c r="Q112" s="22"/>
      <c r="R112" s="22"/>
    </row>
    <row r="113" spans="1:18">
      <c r="A113" s="26"/>
      <c r="B113" s="24"/>
      <c r="C113" s="24"/>
      <c r="D113" s="22"/>
      <c r="E113" s="23" t="str">
        <f t="shared" si="8"/>
        <v>T0.5SpongeSM55</v>
      </c>
      <c r="F113" s="23" t="str">
        <f t="shared" si="9"/>
        <v>T0.5Sponge</v>
      </c>
      <c r="G113" s="35" t="s">
        <v>548</v>
      </c>
      <c r="H113" s="22"/>
      <c r="I113" s="22"/>
      <c r="J113" s="22"/>
      <c r="K113" s="22"/>
      <c r="L113" s="22"/>
      <c r="M113" s="22"/>
      <c r="N113" s="37"/>
      <c r="O113" s="22"/>
      <c r="P113" s="22"/>
      <c r="Q113" s="22"/>
      <c r="R113" s="22"/>
    </row>
    <row r="114" spans="1:18">
      <c r="A114" s="25"/>
      <c r="B114" s="24"/>
      <c r="C114" s="24"/>
      <c r="D114" s="22"/>
      <c r="E114" s="23" t="str">
        <f t="shared" si="8"/>
        <v>T0.5SpongeKVH200</v>
      </c>
      <c r="F114" s="23" t="str">
        <f t="shared" si="9"/>
        <v>T0.5Sponge</v>
      </c>
      <c r="G114" s="35" t="s">
        <v>195</v>
      </c>
      <c r="H114" s="22"/>
      <c r="I114" s="22"/>
      <c r="J114" s="22"/>
      <c r="K114" s="22"/>
      <c r="L114" s="22"/>
      <c r="M114" s="22"/>
      <c r="N114" s="37"/>
      <c r="O114" s="22"/>
      <c r="P114" s="22"/>
      <c r="Q114" s="22"/>
      <c r="R114" s="22"/>
    </row>
    <row r="115" spans="1:18">
      <c r="A115" s="25"/>
      <c r="B115" s="24"/>
      <c r="C115" s="24"/>
      <c r="D115" s="22"/>
      <c r="E115" s="23" t="str">
        <f t="shared" si="8"/>
        <v>T0.5SpongeLV100</v>
      </c>
      <c r="F115" s="23" t="str">
        <f t="shared" si="9"/>
        <v>T0.5Sponge</v>
      </c>
      <c r="G115" s="35" t="s">
        <v>878</v>
      </c>
      <c r="H115" s="22"/>
      <c r="I115" s="22"/>
      <c r="J115" s="22"/>
      <c r="K115" s="22"/>
      <c r="L115" s="22"/>
      <c r="M115" s="22"/>
      <c r="N115" s="37"/>
      <c r="O115" s="22"/>
      <c r="P115" s="22"/>
      <c r="Q115" s="152"/>
      <c r="R115" s="22"/>
    </row>
    <row r="116" spans="1:18">
      <c r="A116" s="25"/>
      <c r="B116" s="24"/>
      <c r="C116" s="24"/>
      <c r="D116" s="22"/>
      <c r="E116" s="23" t="str">
        <f t="shared" si="8"/>
        <v>T0.5SpongePORON_SRS40P</v>
      </c>
      <c r="F116" s="23" t="str">
        <f t="shared" si="9"/>
        <v>T0.5Sponge</v>
      </c>
      <c r="G116" s="35" t="s">
        <v>544</v>
      </c>
      <c r="H116" s="22"/>
      <c r="I116" s="22"/>
      <c r="J116" s="22"/>
      <c r="K116" s="22"/>
      <c r="L116" s="22"/>
      <c r="M116" s="22"/>
      <c r="N116" s="37"/>
      <c r="O116" s="22"/>
      <c r="P116" s="22"/>
      <c r="Q116" s="22"/>
      <c r="R116" s="22"/>
    </row>
    <row r="117" spans="1:18">
      <c r="A117" s="25"/>
      <c r="B117" s="24"/>
      <c r="C117" s="24"/>
      <c r="D117" s="22"/>
      <c r="E117" s="23" t="str">
        <f t="shared" si="8"/>
        <v>T0.5SpongePORON_SRS32P</v>
      </c>
      <c r="F117" s="23" t="str">
        <f t="shared" si="9"/>
        <v>T0.5Sponge</v>
      </c>
      <c r="G117" s="35" t="s">
        <v>879</v>
      </c>
      <c r="H117" s="22"/>
      <c r="I117" s="22"/>
      <c r="J117" s="22"/>
      <c r="K117" s="22"/>
      <c r="L117" s="22"/>
      <c r="M117" s="22"/>
      <c r="N117" s="37"/>
      <c r="O117" s="22"/>
      <c r="P117" s="22"/>
      <c r="Q117" s="22"/>
      <c r="R117" s="22"/>
    </row>
    <row r="118" spans="1:18">
      <c r="A118" s="25"/>
      <c r="B118" s="24"/>
      <c r="C118" s="24"/>
      <c r="D118" s="22"/>
      <c r="E118" s="23" t="str">
        <f t="shared" si="8"/>
        <v>T0.5SpongePORON_ML32</v>
      </c>
      <c r="F118" s="23" t="str">
        <f t="shared" si="9"/>
        <v>T0.5Sponge</v>
      </c>
      <c r="G118" s="35" t="s">
        <v>880</v>
      </c>
      <c r="H118" s="22"/>
      <c r="I118" s="22"/>
      <c r="J118" s="22"/>
      <c r="K118" s="22"/>
      <c r="L118" s="22"/>
      <c r="M118" s="22"/>
      <c r="N118" s="37"/>
      <c r="O118" s="22"/>
      <c r="P118" s="22"/>
      <c r="Q118" s="22"/>
      <c r="R118" s="22"/>
    </row>
    <row r="119" spans="1:18">
      <c r="A119" s="25"/>
      <c r="B119" s="24"/>
      <c r="C119" s="24"/>
      <c r="D119" s="22"/>
      <c r="E119" s="23" t="str">
        <f t="shared" si="8"/>
        <v>T0.5SpongeOther_Fill_ME_Remark</v>
      </c>
      <c r="F119" s="23" t="str">
        <f t="shared" si="9"/>
        <v>T0.5Sponge</v>
      </c>
      <c r="G119" s="35" t="s">
        <v>527</v>
      </c>
      <c r="H119" s="22"/>
      <c r="I119" s="22"/>
      <c r="J119" s="22"/>
      <c r="K119" s="22"/>
      <c r="L119" s="22"/>
      <c r="M119" s="22"/>
      <c r="N119" s="37"/>
      <c r="O119" s="22"/>
      <c r="P119" s="22"/>
      <c r="Q119" s="22"/>
      <c r="R119" s="22"/>
    </row>
    <row r="120" spans="1:18">
      <c r="A120" s="25"/>
      <c r="B120" s="24"/>
      <c r="C120" s="24"/>
      <c r="D120" s="22"/>
      <c r="E120" s="23"/>
      <c r="F120" s="23"/>
      <c r="G120" s="35"/>
      <c r="H120" s="22"/>
      <c r="I120" s="22"/>
      <c r="J120" s="22"/>
      <c r="K120" s="22"/>
      <c r="L120" s="22"/>
      <c r="M120" s="22"/>
      <c r="N120" s="37"/>
      <c r="O120" s="22"/>
      <c r="P120" s="22"/>
      <c r="Q120" s="22"/>
      <c r="R120" s="22"/>
    </row>
    <row r="121" spans="1:18">
      <c r="C121" s="24"/>
      <c r="D121" s="22" t="s">
        <v>881</v>
      </c>
      <c r="E121" s="23" t="str">
        <f t="shared" si="8"/>
        <v>T0.6SpongePORON_SRS32P</v>
      </c>
      <c r="F121" s="23" t="str">
        <f>$D$121&amp;$A$92</f>
        <v>T0.6Sponge</v>
      </c>
      <c r="G121" s="35" t="s">
        <v>539</v>
      </c>
      <c r="H121" s="22"/>
      <c r="I121" s="22"/>
      <c r="J121" s="22"/>
      <c r="K121" s="22"/>
      <c r="L121" s="22"/>
      <c r="M121" s="22"/>
      <c r="N121" s="37"/>
      <c r="O121" s="22"/>
      <c r="P121" s="22"/>
      <c r="Q121" s="22"/>
      <c r="R121" s="22"/>
    </row>
    <row r="122" spans="1:18">
      <c r="C122" s="24"/>
      <c r="D122" s="22"/>
      <c r="E122" s="23" t="str">
        <f t="shared" si="8"/>
        <v>T0.6SpongePORON_SRS40P</v>
      </c>
      <c r="F122" s="23" t="str">
        <f>$D$121&amp;$A$92</f>
        <v>T0.6Sponge</v>
      </c>
      <c r="G122" s="35" t="s">
        <v>544</v>
      </c>
      <c r="H122" s="22"/>
      <c r="I122" s="22"/>
      <c r="J122" s="22"/>
      <c r="K122" s="22"/>
      <c r="L122" s="22"/>
      <c r="M122" s="22"/>
      <c r="N122" s="37"/>
      <c r="O122" s="22"/>
      <c r="P122" s="22"/>
      <c r="Q122" s="22"/>
      <c r="R122" s="22"/>
    </row>
    <row r="123" spans="1:18">
      <c r="C123" s="24"/>
      <c r="D123" s="22"/>
      <c r="E123" s="23" t="str">
        <f t="shared" si="8"/>
        <v>T0.6SpongeOther_Fill_ME_Remark</v>
      </c>
      <c r="F123" s="23" t="str">
        <f>$D$121&amp;$A$92</f>
        <v>T0.6Sponge</v>
      </c>
      <c r="G123" s="35" t="s">
        <v>882</v>
      </c>
      <c r="H123" s="22"/>
      <c r="I123" s="22"/>
      <c r="J123" s="22"/>
      <c r="K123" s="22"/>
      <c r="L123" s="22"/>
      <c r="M123" s="22"/>
      <c r="N123" s="37"/>
      <c r="O123" s="22"/>
      <c r="P123" s="22"/>
      <c r="Q123" s="22"/>
      <c r="R123" s="22"/>
    </row>
    <row r="124" spans="1:18">
      <c r="C124" s="24"/>
      <c r="D124" s="22"/>
      <c r="E124" s="23"/>
      <c r="F124" s="23"/>
      <c r="G124" s="35"/>
      <c r="H124" s="22"/>
      <c r="I124" s="22"/>
      <c r="J124" s="22"/>
      <c r="K124" s="22"/>
      <c r="L124" s="22"/>
      <c r="M124" s="22"/>
      <c r="N124" s="37"/>
      <c r="O124" s="22"/>
      <c r="P124" s="22"/>
      <c r="Q124" s="22"/>
      <c r="R124" s="22"/>
    </row>
    <row r="125" spans="1:18">
      <c r="C125" s="24"/>
      <c r="D125" s="22" t="s">
        <v>883</v>
      </c>
      <c r="E125" s="23" t="str">
        <f t="shared" ref="E125:E130" si="10">F125&amp;G125</f>
        <v>T0.7SpongeYU356</v>
      </c>
      <c r="F125" s="23" t="str">
        <f t="shared" ref="F125:F131" si="11">$D$125&amp;$A$92</f>
        <v>T0.7Sponge</v>
      </c>
      <c r="G125" s="35" t="s">
        <v>550</v>
      </c>
      <c r="H125" s="22"/>
      <c r="I125" s="22"/>
      <c r="J125" s="22"/>
      <c r="K125" s="22"/>
      <c r="L125" s="22"/>
      <c r="M125" s="22"/>
      <c r="N125" s="37"/>
      <c r="O125" s="22"/>
      <c r="P125" s="22"/>
      <c r="Q125" s="22"/>
      <c r="R125" s="22"/>
    </row>
    <row r="126" spans="1:18">
      <c r="C126" s="24"/>
      <c r="D126" s="22"/>
      <c r="E126" s="23" t="str">
        <f t="shared" si="10"/>
        <v>T0.7SpongeKVH200</v>
      </c>
      <c r="F126" s="23" t="str">
        <f t="shared" si="11"/>
        <v>T0.7Sponge</v>
      </c>
      <c r="G126" s="35" t="s">
        <v>884</v>
      </c>
      <c r="H126" s="22"/>
      <c r="I126" s="22"/>
      <c r="J126" s="22"/>
      <c r="K126" s="22"/>
      <c r="L126" s="22"/>
      <c r="M126" s="22"/>
      <c r="N126" s="37"/>
      <c r="O126" s="22"/>
      <c r="P126" s="22"/>
      <c r="Q126" s="22"/>
      <c r="R126" s="22"/>
    </row>
    <row r="127" spans="1:18">
      <c r="C127" s="24"/>
      <c r="D127" s="22"/>
      <c r="E127" s="23" t="str">
        <f t="shared" si="10"/>
        <v>T0.7SpongeLV100</v>
      </c>
      <c r="F127" s="23" t="str">
        <f t="shared" si="11"/>
        <v>T0.7Sponge</v>
      </c>
      <c r="G127" s="35" t="s">
        <v>885</v>
      </c>
      <c r="H127" s="22"/>
      <c r="I127" s="22"/>
      <c r="J127" s="22"/>
      <c r="K127" s="22"/>
      <c r="L127" s="22"/>
      <c r="M127" s="22"/>
      <c r="N127" s="37"/>
      <c r="O127" s="22"/>
      <c r="P127" s="22"/>
      <c r="Q127" s="22"/>
      <c r="R127" s="22"/>
    </row>
    <row r="128" spans="1:18">
      <c r="C128" s="24"/>
      <c r="D128" s="22"/>
      <c r="E128" s="23" t="str">
        <f t="shared" si="10"/>
        <v>T0.7SpongePORON_SRS40P</v>
      </c>
      <c r="F128" s="23" t="str">
        <f t="shared" si="11"/>
        <v>T0.7Sponge</v>
      </c>
      <c r="G128" s="35" t="s">
        <v>886</v>
      </c>
      <c r="H128" s="22"/>
      <c r="I128" s="22"/>
      <c r="J128" s="22"/>
      <c r="K128" s="22"/>
      <c r="L128" s="22"/>
      <c r="M128" s="22"/>
      <c r="N128" s="37"/>
      <c r="O128" s="22"/>
      <c r="P128" s="22"/>
      <c r="Q128" s="22"/>
      <c r="R128" s="22"/>
    </row>
    <row r="129" spans="3:18">
      <c r="C129" s="24"/>
      <c r="D129" s="22"/>
      <c r="E129" s="23" t="str">
        <f t="shared" si="10"/>
        <v>T0.7SpongePORON_SRS24P</v>
      </c>
      <c r="F129" s="23" t="str">
        <f t="shared" si="11"/>
        <v>T0.7Sponge</v>
      </c>
      <c r="G129" s="35" t="s">
        <v>887</v>
      </c>
      <c r="H129" s="22"/>
      <c r="I129" s="22"/>
      <c r="J129" s="22"/>
      <c r="K129" s="22"/>
      <c r="L129" s="22"/>
      <c r="M129" s="22"/>
      <c r="N129" s="37"/>
      <c r="O129" s="22"/>
      <c r="P129" s="22"/>
      <c r="Q129" s="22"/>
      <c r="R129" s="22"/>
    </row>
    <row r="130" spans="3:18">
      <c r="C130" s="24"/>
      <c r="D130" s="22"/>
      <c r="E130" s="23" t="str">
        <f t="shared" si="10"/>
        <v>T0.7SpongePORON_SRS32P</v>
      </c>
      <c r="F130" s="23" t="str">
        <f t="shared" si="11"/>
        <v>T0.7Sponge</v>
      </c>
      <c r="G130" s="35" t="s">
        <v>539</v>
      </c>
      <c r="H130" s="22"/>
      <c r="I130" s="22"/>
      <c r="J130" s="22"/>
      <c r="K130" s="22"/>
      <c r="L130" s="22"/>
      <c r="M130" s="22"/>
      <c r="N130" s="37"/>
      <c r="O130" s="22"/>
      <c r="P130" s="22"/>
      <c r="Q130" s="22"/>
      <c r="R130" s="22"/>
    </row>
    <row r="131" spans="3:18">
      <c r="C131" s="24"/>
      <c r="D131" s="22"/>
      <c r="E131" s="23" t="str">
        <f t="shared" si="8"/>
        <v>T0.7SpongeOther_Fill_ME_Remark</v>
      </c>
      <c r="F131" s="23" t="str">
        <f t="shared" si="11"/>
        <v>T0.7Sponge</v>
      </c>
      <c r="G131" s="35" t="s">
        <v>527</v>
      </c>
      <c r="H131" s="22"/>
      <c r="I131" s="22"/>
      <c r="J131" s="22"/>
      <c r="K131" s="22"/>
      <c r="L131" s="22"/>
      <c r="M131" s="22"/>
      <c r="N131" s="37"/>
      <c r="O131" s="22"/>
      <c r="P131" s="22"/>
      <c r="Q131" s="22"/>
      <c r="R131" s="22"/>
    </row>
    <row r="132" spans="3:18">
      <c r="C132" s="24"/>
      <c r="D132" s="22"/>
      <c r="E132" s="23"/>
      <c r="F132" s="23"/>
      <c r="G132" s="35"/>
      <c r="H132" s="22"/>
      <c r="I132" s="22"/>
      <c r="J132" s="22"/>
      <c r="K132" s="22"/>
      <c r="L132" s="22"/>
      <c r="M132" s="22"/>
      <c r="N132" s="37"/>
      <c r="O132" s="22"/>
      <c r="P132" s="22"/>
      <c r="Q132" s="22"/>
      <c r="R132" s="22"/>
    </row>
    <row r="133" spans="3:18">
      <c r="C133" s="24"/>
      <c r="D133" s="22" t="s">
        <v>536</v>
      </c>
      <c r="E133" s="23" t="str">
        <f t="shared" si="8"/>
        <v>T0.8SpongeCR1015</v>
      </c>
      <c r="F133" s="23" t="str">
        <f>$D$133&amp;$A$92</f>
        <v>T0.8Sponge</v>
      </c>
      <c r="G133" s="35" t="s">
        <v>131</v>
      </c>
      <c r="H133" s="22"/>
      <c r="I133" s="22"/>
      <c r="J133" s="22"/>
      <c r="K133" s="22"/>
      <c r="L133" s="22"/>
      <c r="M133" s="22"/>
      <c r="N133" s="37"/>
      <c r="O133" s="22"/>
      <c r="P133" s="22"/>
      <c r="Q133" s="22"/>
      <c r="R133" s="22"/>
    </row>
    <row r="134" spans="3:18">
      <c r="C134" s="24"/>
      <c r="D134" s="22"/>
      <c r="E134" s="23" t="str">
        <f t="shared" si="8"/>
        <v>T0.8SpongeKVH200</v>
      </c>
      <c r="F134" s="23" t="str">
        <f>$D$133&amp;$A$92</f>
        <v>T0.8Sponge</v>
      </c>
      <c r="G134" s="35" t="s">
        <v>195</v>
      </c>
      <c r="H134" s="22"/>
      <c r="I134" s="22"/>
      <c r="J134" s="22"/>
      <c r="K134" s="22"/>
      <c r="L134" s="22"/>
      <c r="M134" s="22"/>
      <c r="N134" s="37"/>
      <c r="O134" s="22"/>
      <c r="P134" s="22"/>
      <c r="Q134" s="22"/>
      <c r="R134" s="22"/>
    </row>
    <row r="135" spans="3:18">
      <c r="C135" s="24"/>
      <c r="D135" s="22"/>
      <c r="E135" s="23" t="str">
        <f t="shared" si="8"/>
        <v>T0.8SpongeSM55</v>
      </c>
      <c r="F135" s="23" t="str">
        <f>D133&amp;$A$92</f>
        <v>T0.8Sponge</v>
      </c>
      <c r="G135" s="35" t="s">
        <v>548</v>
      </c>
      <c r="H135" s="22"/>
      <c r="I135" s="22"/>
      <c r="J135" s="22"/>
      <c r="K135" s="22"/>
      <c r="L135" s="22"/>
      <c r="M135" s="22"/>
      <c r="N135" s="37"/>
      <c r="O135" s="22"/>
      <c r="P135" s="22"/>
      <c r="Q135" s="22"/>
      <c r="R135" s="22"/>
    </row>
    <row r="136" spans="3:18">
      <c r="C136" s="24"/>
      <c r="D136" s="22"/>
      <c r="E136" s="23" t="str">
        <f t="shared" si="8"/>
        <v>T0.8SpongePORON_SRS24P</v>
      </c>
      <c r="F136" s="23" t="str">
        <f>D133&amp;$A$92</f>
        <v>T0.8Sponge</v>
      </c>
      <c r="G136" s="35" t="s">
        <v>887</v>
      </c>
      <c r="H136" s="22"/>
      <c r="I136" s="22"/>
      <c r="J136" s="22"/>
      <c r="K136" s="22"/>
      <c r="L136" s="22"/>
      <c r="M136" s="22"/>
      <c r="N136" s="37"/>
      <c r="O136" s="22"/>
      <c r="P136" s="22"/>
      <c r="Q136" s="22"/>
      <c r="R136" s="22"/>
    </row>
    <row r="137" spans="3:18">
      <c r="C137" s="24"/>
      <c r="D137" s="22"/>
      <c r="E137" s="23" t="str">
        <f t="shared" si="8"/>
        <v>T0.8SpongeOther_Fill_ME_Remark</v>
      </c>
      <c r="F137" s="23" t="str">
        <f>D133&amp;$A$92</f>
        <v>T0.8Sponge</v>
      </c>
      <c r="G137" s="35" t="s">
        <v>527</v>
      </c>
      <c r="H137" s="22"/>
      <c r="I137" s="22"/>
      <c r="J137" s="22"/>
      <c r="K137" s="22"/>
      <c r="L137" s="22"/>
      <c r="M137" s="22"/>
      <c r="N137" s="37"/>
      <c r="O137" s="22"/>
      <c r="P137" s="22"/>
      <c r="Q137" s="22"/>
      <c r="R137" s="22"/>
    </row>
    <row r="138" spans="3:18">
      <c r="C138" s="24"/>
      <c r="D138" s="22"/>
      <c r="E138" s="23"/>
      <c r="F138" s="23"/>
      <c r="G138" s="35"/>
      <c r="H138" s="22"/>
      <c r="I138" s="22"/>
      <c r="J138" s="22"/>
      <c r="K138" s="22"/>
      <c r="L138" s="22"/>
      <c r="M138" s="22"/>
      <c r="N138" s="37"/>
      <c r="O138" s="22"/>
      <c r="P138" s="22"/>
      <c r="Q138" s="22"/>
      <c r="R138" s="22"/>
    </row>
    <row r="139" spans="3:18">
      <c r="C139" s="24"/>
      <c r="D139" s="22" t="s">
        <v>888</v>
      </c>
      <c r="E139" s="23" t="str">
        <f t="shared" si="8"/>
        <v>T0.9SpongePORON_SRS24P</v>
      </c>
      <c r="F139" s="23" t="str">
        <f>D139&amp;$A$92</f>
        <v>T0.9Sponge</v>
      </c>
      <c r="G139" s="35" t="s">
        <v>887</v>
      </c>
      <c r="H139" s="22"/>
      <c r="I139" s="22"/>
      <c r="J139" s="22"/>
      <c r="K139" s="22"/>
      <c r="L139" s="22"/>
      <c r="M139" s="22"/>
      <c r="N139" s="37"/>
      <c r="O139" s="22"/>
      <c r="P139" s="22"/>
      <c r="Q139" s="22"/>
      <c r="R139" s="22"/>
    </row>
    <row r="140" spans="3:18">
      <c r="C140" s="24"/>
      <c r="D140" s="22"/>
      <c r="E140" s="23" t="str">
        <f t="shared" si="8"/>
        <v>T0.9SpongeOther_Fill_ME_Remark</v>
      </c>
      <c r="F140" s="23" t="str">
        <f>D139&amp;$A$92</f>
        <v>T0.9Sponge</v>
      </c>
      <c r="G140" s="35" t="s">
        <v>889</v>
      </c>
      <c r="H140" s="22"/>
      <c r="I140" s="22"/>
      <c r="J140" s="22"/>
      <c r="K140" s="22"/>
      <c r="L140" s="22"/>
      <c r="M140" s="22"/>
      <c r="N140" s="37"/>
      <c r="O140" s="22"/>
      <c r="P140" s="22"/>
      <c r="Q140" s="22"/>
      <c r="R140" s="22"/>
    </row>
    <row r="141" spans="3:18">
      <c r="C141" s="24"/>
      <c r="D141" s="22"/>
      <c r="E141" s="23"/>
      <c r="F141" s="23"/>
      <c r="G141" s="35"/>
      <c r="H141" s="22"/>
      <c r="I141" s="22"/>
      <c r="J141" s="22"/>
      <c r="K141" s="22"/>
      <c r="L141" s="22"/>
      <c r="M141" s="22"/>
      <c r="N141" s="37"/>
      <c r="O141" s="22"/>
      <c r="P141" s="22"/>
      <c r="Q141" s="22"/>
      <c r="R141" s="22"/>
    </row>
    <row r="142" spans="3:18">
      <c r="C142" s="24"/>
      <c r="D142" s="22" t="s">
        <v>890</v>
      </c>
      <c r="E142" s="23" t="str">
        <f t="shared" si="8"/>
        <v>T1.0SpongeEVA</v>
      </c>
      <c r="F142" s="23" t="str">
        <f>D142&amp;$A$92</f>
        <v>T1.0Sponge</v>
      </c>
      <c r="G142" s="35" t="s">
        <v>891</v>
      </c>
      <c r="H142" s="22"/>
      <c r="I142" s="22"/>
      <c r="J142" s="22"/>
      <c r="K142" s="22"/>
      <c r="L142" s="22"/>
      <c r="M142" s="22"/>
      <c r="N142" s="37"/>
      <c r="O142" s="22"/>
      <c r="P142" s="22"/>
      <c r="Q142" s="22"/>
      <c r="R142" s="22"/>
    </row>
    <row r="143" spans="3:18">
      <c r="C143" s="24"/>
      <c r="D143" s="22"/>
      <c r="E143" s="23" t="str">
        <f t="shared" si="8"/>
        <v>T1.0SpongeCR1015</v>
      </c>
      <c r="F143" s="23" t="str">
        <f>D142&amp;$A$92</f>
        <v>T1.0Sponge</v>
      </c>
      <c r="G143" s="35" t="s">
        <v>892</v>
      </c>
      <c r="H143" s="22"/>
      <c r="I143" s="22"/>
      <c r="J143" s="22"/>
      <c r="K143" s="22"/>
      <c r="L143" s="22"/>
      <c r="M143" s="22"/>
      <c r="N143" s="37"/>
      <c r="O143" s="22"/>
      <c r="P143" s="22"/>
      <c r="Q143" s="22"/>
      <c r="R143" s="22"/>
    </row>
    <row r="144" spans="3:18">
      <c r="C144" s="24"/>
      <c r="D144" s="22"/>
      <c r="E144" s="23" t="str">
        <f t="shared" si="8"/>
        <v>T1.0SpongeE4308</v>
      </c>
      <c r="F144" s="23" t="str">
        <f>D142&amp;$A$92</f>
        <v>T1.0Sponge</v>
      </c>
      <c r="G144" s="35" t="s">
        <v>875</v>
      </c>
      <c r="H144" s="22"/>
      <c r="I144" s="22"/>
      <c r="J144" s="22"/>
      <c r="K144" s="22"/>
      <c r="L144" s="22"/>
      <c r="M144" s="22"/>
      <c r="N144" s="37"/>
      <c r="O144" s="22"/>
      <c r="P144" s="22"/>
      <c r="Q144" s="22"/>
      <c r="R144" s="22"/>
    </row>
    <row r="145" spans="3:18">
      <c r="C145" s="24"/>
      <c r="D145" s="22"/>
      <c r="E145" s="23" t="str">
        <f t="shared" si="8"/>
        <v>T1.0SpongeYU55</v>
      </c>
      <c r="F145" s="23" t="str">
        <f>$D$142&amp;$A$92</f>
        <v>T1.0Sponge</v>
      </c>
      <c r="G145" s="35" t="s">
        <v>551</v>
      </c>
      <c r="H145" s="22"/>
      <c r="I145" s="22"/>
      <c r="J145" s="22"/>
      <c r="K145" s="22"/>
      <c r="L145" s="22"/>
      <c r="M145" s="22"/>
      <c r="N145" s="37"/>
      <c r="O145" s="22"/>
      <c r="P145" s="22"/>
      <c r="Q145" s="22"/>
      <c r="R145" s="22"/>
    </row>
    <row r="146" spans="3:18">
      <c r="C146" s="24"/>
      <c r="D146" s="22"/>
      <c r="E146" s="23" t="str">
        <f t="shared" si="8"/>
        <v>T1.0SpongeKVH200</v>
      </c>
      <c r="F146" s="23" t="str">
        <f>$D$142&amp;$A$92</f>
        <v>T1.0Sponge</v>
      </c>
      <c r="G146" s="35" t="s">
        <v>893</v>
      </c>
      <c r="H146" s="22"/>
      <c r="I146" s="22"/>
      <c r="J146" s="22"/>
      <c r="K146" s="22"/>
      <c r="L146" s="22"/>
      <c r="M146" s="22"/>
      <c r="N146" s="37"/>
      <c r="O146" s="22"/>
      <c r="P146" s="22"/>
      <c r="Q146" s="22"/>
      <c r="R146" s="22"/>
    </row>
    <row r="147" spans="3:18">
      <c r="C147" s="24"/>
      <c r="D147" s="22"/>
      <c r="E147" s="23" t="str">
        <f t="shared" si="8"/>
        <v>T1.0SpongeYU356</v>
      </c>
      <c r="F147" s="23" t="str">
        <f>D142&amp;$A$92</f>
        <v>T1.0Sponge</v>
      </c>
      <c r="G147" s="35" t="s">
        <v>547</v>
      </c>
      <c r="H147" s="22"/>
      <c r="I147" s="22"/>
      <c r="J147" s="22"/>
      <c r="K147" s="22"/>
      <c r="L147" s="22"/>
      <c r="M147" s="22"/>
      <c r="N147" s="37"/>
      <c r="O147" s="22"/>
      <c r="P147" s="22"/>
      <c r="Q147" s="22"/>
      <c r="R147" s="22"/>
    </row>
    <row r="148" spans="3:18">
      <c r="C148" s="24"/>
      <c r="D148" s="22"/>
      <c r="E148" s="23" t="str">
        <f t="shared" si="8"/>
        <v>T1.0SpongeE4382</v>
      </c>
      <c r="F148" s="23" t="str">
        <f>D142&amp;$A$92</f>
        <v>T1.0Sponge</v>
      </c>
      <c r="G148" s="35" t="s">
        <v>138</v>
      </c>
      <c r="H148" s="22"/>
      <c r="I148" s="22"/>
      <c r="J148" s="22"/>
      <c r="K148" s="22"/>
      <c r="L148" s="22"/>
      <c r="M148" s="22"/>
      <c r="N148" s="37"/>
      <c r="O148" s="22"/>
      <c r="P148" s="22"/>
      <c r="Q148" s="22"/>
      <c r="R148" s="22"/>
    </row>
    <row r="149" spans="3:18">
      <c r="C149" s="24"/>
      <c r="D149" s="22"/>
      <c r="E149" s="23" t="str">
        <f t="shared" si="8"/>
        <v>T1.0SpongeSM55</v>
      </c>
      <c r="F149" s="23" t="str">
        <f>D142&amp;$A$92</f>
        <v>T1.0Sponge</v>
      </c>
      <c r="G149" s="35" t="s">
        <v>548</v>
      </c>
      <c r="H149" s="22"/>
      <c r="I149" s="22"/>
      <c r="J149" s="22"/>
      <c r="K149" s="22"/>
      <c r="L149" s="22"/>
      <c r="M149" s="22"/>
      <c r="N149" s="37"/>
      <c r="O149" s="22"/>
      <c r="P149" s="22"/>
      <c r="Q149" s="22"/>
      <c r="R149" s="22"/>
    </row>
    <row r="150" spans="3:18">
      <c r="C150" s="24"/>
      <c r="D150" s="22"/>
      <c r="E150" s="23" t="str">
        <f t="shared" si="8"/>
        <v>T1.0SpongePMP1800</v>
      </c>
      <c r="F150" s="23" t="str">
        <f>D142&amp;$A$92</f>
        <v>T1.0Sponge</v>
      </c>
      <c r="G150" s="35" t="s">
        <v>894</v>
      </c>
      <c r="H150" s="22"/>
      <c r="I150" s="22"/>
      <c r="J150" s="22"/>
      <c r="K150" s="22"/>
      <c r="L150" s="22"/>
      <c r="M150" s="22"/>
      <c r="N150" s="37"/>
      <c r="O150" s="22"/>
      <c r="P150" s="22"/>
      <c r="Q150" s="22"/>
      <c r="R150" s="22"/>
    </row>
    <row r="151" spans="3:18">
      <c r="C151" s="24"/>
      <c r="D151" s="22"/>
      <c r="E151" s="23" t="str">
        <f t="shared" si="8"/>
        <v>T1.0SpongeLV100</v>
      </c>
      <c r="F151" s="23" t="str">
        <f>D142&amp;$A$92</f>
        <v>T1.0Sponge</v>
      </c>
      <c r="G151" s="35" t="s">
        <v>895</v>
      </c>
      <c r="H151" s="22"/>
      <c r="I151" s="22"/>
      <c r="J151" s="22"/>
      <c r="K151" s="22"/>
      <c r="L151" s="22"/>
      <c r="M151" s="22"/>
      <c r="N151" s="37"/>
      <c r="O151" s="22"/>
      <c r="P151" s="22"/>
      <c r="Q151" s="152"/>
      <c r="R151" s="22"/>
    </row>
    <row r="152" spans="3:18">
      <c r="C152" s="24"/>
      <c r="D152" s="22"/>
      <c r="E152" s="23" t="str">
        <f t="shared" si="8"/>
        <v>T1.0SpongeCR2030</v>
      </c>
      <c r="F152" s="23" t="str">
        <f>D142&amp;$A$92</f>
        <v>T1.0Sponge</v>
      </c>
      <c r="G152" s="35" t="s">
        <v>896</v>
      </c>
      <c r="H152" s="22"/>
      <c r="I152" s="22"/>
      <c r="J152" s="22"/>
      <c r="K152" s="22"/>
      <c r="L152" s="22"/>
      <c r="M152" s="22"/>
      <c r="N152" s="37"/>
      <c r="O152" s="22"/>
      <c r="P152" s="22"/>
      <c r="Q152" s="22"/>
      <c r="R152" s="22"/>
    </row>
    <row r="153" spans="3:18">
      <c r="C153" s="24"/>
      <c r="D153" s="22"/>
      <c r="E153" s="23" t="str">
        <f t="shared" si="8"/>
        <v>T1.0SpongePORON_SRS40P</v>
      </c>
      <c r="F153" s="23" t="str">
        <f>D142&amp;$A$92</f>
        <v>T1.0Sponge</v>
      </c>
      <c r="G153" s="35" t="s">
        <v>897</v>
      </c>
      <c r="H153" s="22"/>
      <c r="I153" s="22"/>
      <c r="J153" s="22"/>
      <c r="K153" s="22"/>
      <c r="L153" s="22"/>
      <c r="M153" s="22"/>
      <c r="N153" s="37"/>
      <c r="O153" s="22"/>
      <c r="P153" s="22"/>
      <c r="Q153" s="22"/>
      <c r="R153" s="22"/>
    </row>
    <row r="154" spans="3:18">
      <c r="C154" s="24"/>
      <c r="D154" s="22"/>
      <c r="E154" s="23" t="str">
        <f t="shared" si="8"/>
        <v>T1.0SpongePORON_ML32</v>
      </c>
      <c r="F154" s="23" t="str">
        <f>D142&amp;$A$92</f>
        <v>T1.0Sponge</v>
      </c>
      <c r="G154" s="35" t="s">
        <v>898</v>
      </c>
      <c r="H154" s="22"/>
      <c r="I154" s="22"/>
      <c r="J154" s="22"/>
      <c r="K154" s="22"/>
      <c r="L154" s="22"/>
      <c r="M154" s="22"/>
      <c r="N154" s="37"/>
      <c r="O154" s="22"/>
      <c r="P154" s="22"/>
      <c r="Q154" s="22"/>
      <c r="R154" s="22"/>
    </row>
    <row r="155" spans="3:18">
      <c r="C155" s="24"/>
      <c r="D155" s="22"/>
      <c r="E155" s="23" t="str">
        <f t="shared" si="8"/>
        <v>T1.0SpongePORON_SRS24P</v>
      </c>
      <c r="F155" s="23" t="str">
        <f>D142&amp;$A$92</f>
        <v>T1.0Sponge</v>
      </c>
      <c r="G155" s="35" t="s">
        <v>899</v>
      </c>
      <c r="H155" s="22"/>
      <c r="I155" s="22"/>
      <c r="J155" s="22"/>
      <c r="K155" s="22"/>
      <c r="L155" s="22"/>
      <c r="M155" s="22"/>
      <c r="N155" s="37"/>
      <c r="O155" s="22"/>
      <c r="P155" s="22"/>
      <c r="Q155" s="22"/>
      <c r="R155" s="22"/>
    </row>
    <row r="156" spans="3:18">
      <c r="C156" s="24"/>
      <c r="D156" s="22"/>
      <c r="E156" s="23" t="str">
        <f t="shared" si="8"/>
        <v>T1.0SpongePORON_SRS32P</v>
      </c>
      <c r="F156" s="23" t="str">
        <f>D142&amp;$A$92</f>
        <v>T1.0Sponge</v>
      </c>
      <c r="G156" s="35" t="s">
        <v>539</v>
      </c>
      <c r="H156" s="22"/>
      <c r="I156" s="22"/>
      <c r="J156" s="22"/>
      <c r="K156" s="22"/>
      <c r="L156" s="22"/>
      <c r="M156" s="22"/>
      <c r="N156" s="37"/>
      <c r="O156" s="22"/>
      <c r="P156" s="22"/>
      <c r="Q156" s="22"/>
      <c r="R156" s="22"/>
    </row>
    <row r="157" spans="3:18">
      <c r="C157" s="24"/>
      <c r="D157" s="22"/>
      <c r="E157" s="23" t="str">
        <f t="shared" si="8"/>
        <v>T1.0SpongeOther_Fill_ME_Remark</v>
      </c>
      <c r="F157" s="23" t="str">
        <f>D142&amp;$A$92</f>
        <v>T1.0Sponge</v>
      </c>
      <c r="G157" s="35" t="s">
        <v>527</v>
      </c>
      <c r="H157" s="22"/>
      <c r="I157" s="22"/>
      <c r="J157" s="22"/>
      <c r="K157" s="22"/>
      <c r="L157" s="22"/>
      <c r="M157" s="22"/>
      <c r="N157" s="37"/>
      <c r="O157" s="22"/>
      <c r="P157" s="22"/>
      <c r="Q157" s="22"/>
      <c r="R157" s="22"/>
    </row>
    <row r="158" spans="3:18">
      <c r="C158" s="24"/>
      <c r="D158" s="22"/>
      <c r="E158" s="23"/>
      <c r="F158" s="23"/>
      <c r="G158" s="35"/>
      <c r="H158" s="22"/>
      <c r="I158" s="22"/>
      <c r="J158" s="22"/>
      <c r="K158" s="22"/>
      <c r="L158" s="22"/>
      <c r="M158" s="22"/>
      <c r="N158" s="37"/>
      <c r="O158" s="22"/>
      <c r="P158" s="22"/>
      <c r="Q158" s="22"/>
      <c r="R158" s="22"/>
    </row>
    <row r="159" spans="3:18">
      <c r="C159" s="24"/>
      <c r="D159" s="22" t="s">
        <v>541</v>
      </c>
      <c r="E159" s="23" t="str">
        <f t="shared" ref="E159:E169" si="12">F159&amp;G159</f>
        <v>T1.5SpongeCR1015</v>
      </c>
      <c r="F159" s="23" t="str">
        <f>D159&amp;$A$92</f>
        <v>T1.5Sponge</v>
      </c>
      <c r="G159" s="35" t="s">
        <v>553</v>
      </c>
      <c r="H159" s="22"/>
      <c r="I159" s="22"/>
      <c r="J159" s="22"/>
      <c r="K159" s="22"/>
      <c r="L159" s="22"/>
      <c r="M159" s="22"/>
      <c r="N159" s="37"/>
      <c r="O159" s="22"/>
      <c r="P159" s="22"/>
      <c r="Q159" s="22"/>
      <c r="R159" s="22"/>
    </row>
    <row r="160" spans="3:18">
      <c r="C160" s="24"/>
      <c r="D160" s="22"/>
      <c r="E160" s="23" t="str">
        <f t="shared" si="12"/>
        <v>T1.5SpongeE4308</v>
      </c>
      <c r="F160" s="23" t="str">
        <f>$D$159&amp;$A$92</f>
        <v>T1.5Sponge</v>
      </c>
      <c r="G160" s="35" t="s">
        <v>900</v>
      </c>
      <c r="H160" s="22"/>
      <c r="I160" s="22"/>
      <c r="J160" s="22"/>
      <c r="K160" s="22"/>
      <c r="L160" s="22"/>
      <c r="M160" s="22"/>
      <c r="N160" s="37"/>
      <c r="O160" s="22"/>
      <c r="P160" s="22"/>
      <c r="Q160" s="22"/>
      <c r="R160" s="22"/>
    </row>
    <row r="161" spans="3:18">
      <c r="C161" s="24"/>
      <c r="D161" s="22"/>
      <c r="E161" s="23" t="str">
        <f t="shared" si="12"/>
        <v>T1.5SpongeYU356</v>
      </c>
      <c r="F161" s="23" t="str">
        <f>$D$159&amp;$A$92</f>
        <v>T1.5Sponge</v>
      </c>
      <c r="G161" s="35" t="s">
        <v>550</v>
      </c>
      <c r="H161" s="22"/>
      <c r="I161" s="22"/>
      <c r="J161" s="22"/>
      <c r="K161" s="22"/>
      <c r="L161" s="22"/>
      <c r="M161" s="22"/>
      <c r="N161" s="37"/>
      <c r="O161" s="22"/>
      <c r="P161" s="22"/>
      <c r="Q161" s="22"/>
      <c r="R161" s="22"/>
    </row>
    <row r="162" spans="3:18">
      <c r="C162" s="24"/>
      <c r="D162" s="22"/>
      <c r="E162" s="23" t="str">
        <f t="shared" si="12"/>
        <v>T1.5SpongeKVH200</v>
      </c>
      <c r="F162" s="23" t="str">
        <f>$D$159&amp;$A$92</f>
        <v>T1.5Sponge</v>
      </c>
      <c r="G162" s="35" t="s">
        <v>195</v>
      </c>
      <c r="H162" s="22"/>
      <c r="I162" s="22"/>
      <c r="J162" s="22"/>
      <c r="K162" s="22"/>
      <c r="L162" s="22"/>
      <c r="M162" s="22"/>
      <c r="N162" s="37"/>
      <c r="O162" s="22"/>
      <c r="P162" s="22"/>
      <c r="Q162" s="22"/>
      <c r="R162" s="22"/>
    </row>
    <row r="163" spans="3:18">
      <c r="C163" s="24"/>
      <c r="D163" s="22"/>
      <c r="E163" s="23" t="str">
        <f t="shared" si="12"/>
        <v>T1.5SpongePMP1800</v>
      </c>
      <c r="F163" s="23" t="str">
        <f>D159&amp;$A$92</f>
        <v>T1.5Sponge</v>
      </c>
      <c r="G163" s="35" t="s">
        <v>894</v>
      </c>
      <c r="H163" s="22"/>
      <c r="I163" s="22"/>
      <c r="J163" s="22"/>
      <c r="K163" s="22"/>
      <c r="L163" s="22"/>
      <c r="M163" s="22"/>
      <c r="N163" s="37"/>
      <c r="O163" s="22"/>
      <c r="P163" s="22"/>
      <c r="Q163" s="22"/>
      <c r="R163" s="22"/>
    </row>
    <row r="164" spans="3:18">
      <c r="C164" s="24"/>
      <c r="D164" s="22"/>
      <c r="E164" s="23" t="str">
        <f t="shared" si="12"/>
        <v>T1.5SpongeSM55</v>
      </c>
      <c r="F164" s="23" t="str">
        <f>D159&amp;$A$92</f>
        <v>T1.5Sponge</v>
      </c>
      <c r="G164" s="35" t="s">
        <v>548</v>
      </c>
      <c r="H164" s="22"/>
      <c r="I164" s="22"/>
      <c r="J164" s="22"/>
      <c r="K164" s="22"/>
      <c r="L164" s="22"/>
      <c r="M164" s="22"/>
      <c r="N164" s="37"/>
      <c r="O164" s="22"/>
      <c r="P164" s="22"/>
      <c r="Q164" s="22"/>
      <c r="R164" s="22"/>
    </row>
    <row r="165" spans="3:18">
      <c r="C165" s="24"/>
      <c r="D165" s="22"/>
      <c r="E165" s="23" t="str">
        <f t="shared" si="12"/>
        <v>T1.5SpongeE4382</v>
      </c>
      <c r="F165" s="23" t="str">
        <f>D159&amp;$A$92</f>
        <v>T1.5Sponge</v>
      </c>
      <c r="G165" s="35" t="s">
        <v>901</v>
      </c>
      <c r="H165" s="22"/>
      <c r="I165" s="22"/>
      <c r="J165" s="22"/>
      <c r="K165" s="22"/>
      <c r="L165" s="22"/>
      <c r="M165" s="22"/>
      <c r="N165" s="37"/>
      <c r="O165" s="22"/>
      <c r="P165" s="22"/>
      <c r="Q165" s="22"/>
      <c r="R165" s="22"/>
    </row>
    <row r="166" spans="3:18">
      <c r="C166" s="24"/>
      <c r="D166" s="22"/>
      <c r="E166" s="23" t="str">
        <f t="shared" si="12"/>
        <v>T1.5SpongePORON_ML32</v>
      </c>
      <c r="F166" s="23" t="str">
        <f>D159&amp;$A$92</f>
        <v>T1.5Sponge</v>
      </c>
      <c r="G166" s="35" t="s">
        <v>898</v>
      </c>
      <c r="H166" s="22"/>
      <c r="I166" s="22"/>
      <c r="J166" s="22"/>
      <c r="K166" s="22"/>
      <c r="L166" s="22"/>
      <c r="M166" s="22"/>
      <c r="N166" s="37"/>
      <c r="O166" s="22"/>
      <c r="P166" s="22"/>
      <c r="Q166" s="22"/>
      <c r="R166" s="22"/>
    </row>
    <row r="167" spans="3:18">
      <c r="C167" s="24"/>
      <c r="D167" s="22"/>
      <c r="E167" s="23" t="str">
        <f t="shared" si="12"/>
        <v>T1.5SpongePORON_SRS32P</v>
      </c>
      <c r="F167" s="23" t="str">
        <f>D159&amp;$A$92</f>
        <v>T1.5Sponge</v>
      </c>
      <c r="G167" s="35" t="s">
        <v>902</v>
      </c>
      <c r="H167" s="22"/>
      <c r="I167" s="22"/>
      <c r="J167" s="22"/>
      <c r="K167" s="22"/>
      <c r="L167" s="22"/>
      <c r="M167" s="22"/>
      <c r="N167" s="37"/>
      <c r="O167" s="22"/>
      <c r="P167" s="22"/>
      <c r="Q167" s="22"/>
      <c r="R167" s="22"/>
    </row>
    <row r="168" spans="3:18">
      <c r="C168" s="24"/>
      <c r="D168" s="22"/>
      <c r="E168" s="23" t="str">
        <f t="shared" si="12"/>
        <v>T1.5SpongePORON_SRS24P</v>
      </c>
      <c r="F168" s="23" t="str">
        <f>D159&amp;$A$92</f>
        <v>T1.5Sponge</v>
      </c>
      <c r="G168" s="35" t="s">
        <v>887</v>
      </c>
      <c r="H168" s="22"/>
      <c r="I168" s="22"/>
      <c r="J168" s="22"/>
      <c r="K168" s="22"/>
      <c r="L168" s="22"/>
      <c r="M168" s="22"/>
      <c r="N168" s="37"/>
      <c r="O168" s="22"/>
      <c r="P168" s="22"/>
      <c r="Q168" s="22"/>
      <c r="R168" s="22"/>
    </row>
    <row r="169" spans="3:18">
      <c r="C169" s="24"/>
      <c r="D169" s="152"/>
      <c r="E169" s="153" t="str">
        <f t="shared" si="12"/>
        <v>T1.5SpongeLV100</v>
      </c>
      <c r="F169" s="153" t="str">
        <f>D159&amp;$A$92</f>
        <v>T1.5Sponge</v>
      </c>
      <c r="G169" s="154" t="s">
        <v>878</v>
      </c>
      <c r="H169" s="22"/>
      <c r="I169" s="22"/>
      <c r="J169" s="22"/>
      <c r="K169" s="22"/>
      <c r="L169" s="22"/>
      <c r="M169" s="22"/>
      <c r="N169" s="37"/>
      <c r="O169" s="22"/>
      <c r="P169" s="22"/>
      <c r="Q169" s="22"/>
      <c r="R169" s="22"/>
    </row>
    <row r="170" spans="3:18">
      <c r="C170" s="24"/>
      <c r="D170" s="22"/>
      <c r="E170" s="23" t="str">
        <f t="shared" si="8"/>
        <v>T1.5SpongeOther_Fill_ME_Remark</v>
      </c>
      <c r="F170" s="23" t="str">
        <f>D159&amp;$A$92</f>
        <v>T1.5Sponge</v>
      </c>
      <c r="G170" s="35" t="s">
        <v>852</v>
      </c>
      <c r="H170" s="22"/>
      <c r="I170" s="22"/>
      <c r="J170" s="22"/>
      <c r="K170" s="22"/>
      <c r="L170" s="22"/>
      <c r="M170" s="22"/>
      <c r="N170" s="37"/>
      <c r="O170" s="22"/>
      <c r="P170" s="22"/>
      <c r="Q170" s="22"/>
      <c r="R170" s="22"/>
    </row>
    <row r="171" spans="3:18">
      <c r="C171" s="24"/>
      <c r="D171" s="22"/>
      <c r="E171" s="23" t="str">
        <f t="shared" si="8"/>
        <v/>
      </c>
      <c r="F171" s="23"/>
      <c r="G171" s="35"/>
      <c r="H171" s="22"/>
      <c r="I171" s="22"/>
      <c r="J171" s="22"/>
      <c r="K171" s="22"/>
      <c r="L171" s="22"/>
      <c r="M171" s="22"/>
      <c r="N171" s="37"/>
      <c r="O171" s="22"/>
      <c r="P171" s="22"/>
      <c r="Q171" s="22"/>
      <c r="R171" s="22"/>
    </row>
    <row r="172" spans="3:18">
      <c r="C172" s="24"/>
      <c r="D172" s="22" t="s">
        <v>903</v>
      </c>
      <c r="E172" s="23" t="str">
        <f t="shared" si="8"/>
        <v>T2.0SpongeCR1015</v>
      </c>
      <c r="F172" s="23" t="str">
        <f>D172&amp;$A$92</f>
        <v>T2.0Sponge</v>
      </c>
      <c r="G172" s="35" t="s">
        <v>553</v>
      </c>
      <c r="H172" s="22"/>
      <c r="I172" s="22"/>
      <c r="J172" s="22"/>
      <c r="K172" s="22"/>
      <c r="L172" s="22"/>
      <c r="M172" s="22"/>
      <c r="N172" s="37"/>
      <c r="O172" s="22"/>
      <c r="P172" s="22"/>
      <c r="Q172" s="22"/>
      <c r="R172" s="22"/>
    </row>
    <row r="173" spans="3:18">
      <c r="C173" s="24"/>
      <c r="D173" s="22"/>
      <c r="E173" s="23" t="str">
        <f t="shared" si="8"/>
        <v>T2.0SpongeYU356</v>
      </c>
      <c r="F173" s="23" t="str">
        <f>D172&amp;$A$92</f>
        <v>T2.0Sponge</v>
      </c>
      <c r="G173" s="35" t="s">
        <v>550</v>
      </c>
      <c r="H173" s="22"/>
      <c r="I173" s="22"/>
      <c r="J173" s="22"/>
      <c r="K173" s="22"/>
      <c r="L173" s="22"/>
      <c r="M173" s="22"/>
      <c r="N173" s="37"/>
      <c r="O173" s="22"/>
      <c r="P173" s="22"/>
      <c r="Q173" s="22"/>
      <c r="R173" s="22"/>
    </row>
    <row r="174" spans="3:18">
      <c r="C174" s="24"/>
      <c r="D174" s="22"/>
      <c r="E174" s="23" t="str">
        <f t="shared" si="8"/>
        <v>T2.0SpongeSM55</v>
      </c>
      <c r="F174" s="23" t="str">
        <f>$D$172&amp;$A$92</f>
        <v>T2.0Sponge</v>
      </c>
      <c r="G174" s="35" t="s">
        <v>548</v>
      </c>
      <c r="H174" s="22"/>
      <c r="I174" s="22"/>
      <c r="J174" s="22"/>
      <c r="K174" s="22"/>
      <c r="L174" s="22"/>
      <c r="M174" s="22"/>
      <c r="N174" s="37"/>
      <c r="O174" s="22"/>
      <c r="P174" s="22"/>
      <c r="Q174" s="22"/>
      <c r="R174" s="22"/>
    </row>
    <row r="175" spans="3:18">
      <c r="C175" s="24"/>
      <c r="D175" s="22"/>
      <c r="E175" s="23" t="str">
        <f t="shared" si="8"/>
        <v>T2.0SpongeKVH200</v>
      </c>
      <c r="F175" s="23" t="str">
        <f>$D$172&amp;$A$92</f>
        <v>T2.0Sponge</v>
      </c>
      <c r="G175" s="35" t="s">
        <v>893</v>
      </c>
      <c r="H175" s="22"/>
      <c r="I175" s="22"/>
      <c r="J175" s="22"/>
      <c r="K175" s="22"/>
      <c r="L175" s="22"/>
      <c r="M175" s="22"/>
      <c r="N175" s="37"/>
      <c r="O175" s="22"/>
      <c r="P175" s="22"/>
      <c r="Q175" s="22"/>
      <c r="R175" s="22"/>
    </row>
    <row r="176" spans="3:18">
      <c r="C176" s="24"/>
      <c r="D176" s="22"/>
      <c r="E176" s="23" t="str">
        <f t="shared" si="8"/>
        <v>T2.0SpongePMP1800</v>
      </c>
      <c r="F176" s="23" t="str">
        <f>D172&amp;$A$92</f>
        <v>T2.0Sponge</v>
      </c>
      <c r="G176" s="35" t="s">
        <v>552</v>
      </c>
      <c r="H176" s="22"/>
      <c r="I176" s="22"/>
      <c r="J176" s="22"/>
      <c r="K176" s="22"/>
      <c r="L176" s="22"/>
      <c r="M176" s="22"/>
      <c r="N176" s="37"/>
      <c r="O176" s="22"/>
      <c r="P176" s="22"/>
      <c r="Q176" s="22"/>
      <c r="R176" s="22"/>
    </row>
    <row r="177" spans="3:18">
      <c r="C177" s="24"/>
      <c r="D177" s="22"/>
      <c r="E177" s="23" t="str">
        <f t="shared" si="8"/>
        <v>T2.0SpongePORON_ML32</v>
      </c>
      <c r="F177" s="23" t="str">
        <f>D172&amp;$A$92</f>
        <v>T2.0Sponge</v>
      </c>
      <c r="G177" s="35" t="s">
        <v>549</v>
      </c>
      <c r="H177" s="22"/>
      <c r="I177" s="22"/>
      <c r="J177" s="22"/>
      <c r="K177" s="22"/>
      <c r="L177" s="22"/>
      <c r="M177" s="22"/>
      <c r="N177" s="37"/>
      <c r="O177" s="22"/>
      <c r="P177" s="22"/>
      <c r="Q177" s="22"/>
      <c r="R177" s="22"/>
    </row>
    <row r="178" spans="3:18">
      <c r="C178" s="24"/>
      <c r="D178" s="22"/>
      <c r="E178" s="23" t="str">
        <f t="shared" si="8"/>
        <v>T2.0SpongePORON_SRS32P</v>
      </c>
      <c r="F178" s="23" t="str">
        <f>D172&amp;$A$92</f>
        <v>T2.0Sponge</v>
      </c>
      <c r="G178" s="35" t="s">
        <v>539</v>
      </c>
      <c r="H178" s="22"/>
      <c r="I178" s="22"/>
      <c r="J178" s="22"/>
      <c r="K178" s="22"/>
      <c r="L178" s="22"/>
      <c r="M178" s="22"/>
      <c r="N178" s="37"/>
      <c r="O178" s="22"/>
      <c r="P178" s="22"/>
      <c r="Q178" s="22"/>
      <c r="R178" s="22"/>
    </row>
    <row r="179" spans="3:18">
      <c r="C179" s="24"/>
      <c r="D179" s="22"/>
      <c r="E179" s="23" t="str">
        <f t="shared" si="8"/>
        <v>T2.0SpongePORON_SRS24P</v>
      </c>
      <c r="F179" s="23" t="str">
        <f>D172&amp;$A$92</f>
        <v>T2.0Sponge</v>
      </c>
      <c r="G179" s="35" t="s">
        <v>904</v>
      </c>
      <c r="H179" s="22"/>
      <c r="I179" s="22"/>
      <c r="J179" s="22"/>
      <c r="K179" s="22"/>
      <c r="L179" s="22"/>
      <c r="M179" s="22"/>
      <c r="N179" s="37"/>
      <c r="O179" s="22"/>
      <c r="P179" s="22"/>
      <c r="Q179" s="22"/>
      <c r="R179" s="22"/>
    </row>
    <row r="180" spans="3:18">
      <c r="C180" s="24"/>
      <c r="D180" s="152"/>
      <c r="E180" s="153" t="str">
        <f t="shared" si="8"/>
        <v>T2.0SpongeLV100</v>
      </c>
      <c r="F180" s="153" t="str">
        <f>D172&amp;$A$92</f>
        <v>T2.0Sponge</v>
      </c>
      <c r="G180" s="154" t="s">
        <v>905</v>
      </c>
      <c r="H180" s="22"/>
      <c r="I180" s="22"/>
      <c r="J180" s="22"/>
      <c r="K180" s="22"/>
      <c r="L180" s="22"/>
      <c r="M180" s="22"/>
      <c r="N180" s="37"/>
      <c r="O180" s="22"/>
      <c r="P180" s="22"/>
      <c r="Q180" s="22"/>
      <c r="R180" s="22"/>
    </row>
    <row r="181" spans="3:18">
      <c r="C181" s="24"/>
      <c r="D181" s="22"/>
      <c r="E181" s="23" t="str">
        <f t="shared" si="8"/>
        <v>T2.0SpongeOther_Fill_ME_Remark</v>
      </c>
      <c r="F181" s="23" t="str">
        <f>D172&amp;$A$92</f>
        <v>T2.0Sponge</v>
      </c>
      <c r="G181" s="35" t="s">
        <v>859</v>
      </c>
      <c r="H181" s="22"/>
      <c r="I181" s="22"/>
      <c r="J181" s="22"/>
      <c r="K181" s="22"/>
      <c r="L181" s="22"/>
      <c r="M181" s="22"/>
      <c r="N181" s="37"/>
      <c r="O181" s="22"/>
      <c r="P181" s="22"/>
      <c r="Q181" s="22"/>
      <c r="R181" s="22"/>
    </row>
    <row r="182" spans="3:18">
      <c r="C182" s="24"/>
      <c r="D182" s="22"/>
      <c r="E182" s="23" t="str">
        <f t="shared" si="8"/>
        <v/>
      </c>
      <c r="F182" s="23"/>
      <c r="G182" s="35"/>
      <c r="H182" s="22"/>
      <c r="I182" s="22"/>
      <c r="J182" s="22"/>
      <c r="K182" s="22"/>
      <c r="L182" s="22"/>
      <c r="M182" s="22"/>
      <c r="N182" s="37"/>
      <c r="O182" s="22"/>
      <c r="P182" s="22"/>
      <c r="Q182" s="22"/>
      <c r="R182" s="22"/>
    </row>
    <row r="183" spans="3:18">
      <c r="C183" s="24"/>
      <c r="D183" s="22" t="s">
        <v>907</v>
      </c>
      <c r="E183" s="23" t="str">
        <f t="shared" si="8"/>
        <v>T2.5SpongeCR1015</v>
      </c>
      <c r="F183" s="23" t="str">
        <f>D183&amp;$A$92</f>
        <v>T2.5Sponge</v>
      </c>
      <c r="G183" s="35" t="s">
        <v>553</v>
      </c>
      <c r="H183" s="22"/>
      <c r="I183" s="22"/>
      <c r="J183" s="22"/>
      <c r="K183" s="22"/>
      <c r="L183" s="22"/>
      <c r="M183" s="22"/>
      <c r="N183" s="37"/>
      <c r="O183" s="22"/>
      <c r="P183" s="22"/>
      <c r="Q183" s="22"/>
      <c r="R183" s="22"/>
    </row>
    <row r="184" spans="3:18">
      <c r="C184" s="24"/>
      <c r="D184" s="22"/>
      <c r="E184" s="23" t="str">
        <f t="shared" si="8"/>
        <v>T2.5SpongeE4308</v>
      </c>
      <c r="F184" s="23" t="str">
        <f>D183&amp;$A$92</f>
        <v>T2.5Sponge</v>
      </c>
      <c r="G184" s="35" t="s">
        <v>908</v>
      </c>
      <c r="H184" s="22"/>
      <c r="I184" s="22"/>
      <c r="J184" s="22"/>
      <c r="K184" s="22"/>
      <c r="L184" s="22"/>
      <c r="M184" s="22"/>
      <c r="N184" s="37"/>
      <c r="O184" s="22"/>
      <c r="P184" s="22"/>
      <c r="Q184" s="22"/>
      <c r="R184" s="22"/>
    </row>
    <row r="185" spans="3:18">
      <c r="C185" s="24"/>
      <c r="D185" s="22"/>
      <c r="E185" s="23" t="str">
        <f t="shared" ref="E185:E223" si="13">F185&amp;G185</f>
        <v>T2.5SpongeSM55</v>
      </c>
      <c r="F185" s="23" t="str">
        <f>D183&amp;$A$92</f>
        <v>T2.5Sponge</v>
      </c>
      <c r="G185" s="35" t="s">
        <v>548</v>
      </c>
      <c r="H185" s="22"/>
      <c r="I185" s="22"/>
      <c r="J185" s="22"/>
      <c r="K185" s="22"/>
      <c r="L185" s="22"/>
      <c r="M185" s="22"/>
      <c r="N185" s="37"/>
      <c r="O185" s="22"/>
      <c r="P185" s="22"/>
      <c r="Q185" s="22"/>
      <c r="R185" s="22"/>
    </row>
    <row r="186" spans="3:18">
      <c r="C186" s="24"/>
      <c r="D186" s="22"/>
      <c r="E186" s="23" t="str">
        <f t="shared" si="13"/>
        <v>T2.5SpongePMP1800</v>
      </c>
      <c r="F186" s="23" t="str">
        <f>$D$183&amp;$A$92</f>
        <v>T2.5Sponge</v>
      </c>
      <c r="G186" s="35" t="s">
        <v>552</v>
      </c>
      <c r="H186" s="22"/>
      <c r="I186" s="22"/>
      <c r="J186" s="22"/>
      <c r="K186" s="22"/>
      <c r="L186" s="22"/>
      <c r="M186" s="22"/>
      <c r="N186" s="37"/>
      <c r="O186" s="22"/>
      <c r="P186" s="22"/>
      <c r="Q186" s="22"/>
      <c r="R186" s="22"/>
    </row>
    <row r="187" spans="3:18">
      <c r="C187" s="24"/>
      <c r="D187" s="22"/>
      <c r="E187" s="23" t="str">
        <f t="shared" si="13"/>
        <v>T2.5SpongeKVH200</v>
      </c>
      <c r="F187" s="23" t="str">
        <f>$D$183&amp;$A$92</f>
        <v>T2.5Sponge</v>
      </c>
      <c r="G187" s="35" t="s">
        <v>195</v>
      </c>
      <c r="H187" s="22"/>
      <c r="I187" s="22"/>
      <c r="J187" s="22"/>
      <c r="K187" s="22"/>
      <c r="L187" s="22"/>
      <c r="M187" s="22"/>
      <c r="N187" s="37"/>
      <c r="O187" s="22"/>
      <c r="P187" s="22"/>
      <c r="Q187" s="22"/>
      <c r="R187" s="22"/>
    </row>
    <row r="188" spans="3:18">
      <c r="C188" s="24"/>
      <c r="D188" s="22"/>
      <c r="E188" s="23" t="str">
        <f t="shared" si="13"/>
        <v>T2.5SpongeE4382</v>
      </c>
      <c r="F188" s="23" t="str">
        <f>D183&amp;$A$92</f>
        <v>T2.5Sponge</v>
      </c>
      <c r="G188" s="35" t="s">
        <v>138</v>
      </c>
      <c r="H188" s="22"/>
      <c r="I188" s="22"/>
      <c r="J188" s="22"/>
      <c r="K188" s="22"/>
      <c r="L188" s="22"/>
      <c r="M188" s="22"/>
      <c r="N188" s="37"/>
      <c r="O188" s="22"/>
      <c r="P188" s="22"/>
      <c r="Q188" s="22"/>
      <c r="R188" s="22"/>
    </row>
    <row r="189" spans="3:18">
      <c r="C189" s="24"/>
      <c r="D189" s="22"/>
      <c r="E189" s="23" t="str">
        <f t="shared" si="13"/>
        <v>T2.5SpongePORON_ML32</v>
      </c>
      <c r="F189" s="23" t="str">
        <f>D183&amp;$A$92</f>
        <v>T2.5Sponge</v>
      </c>
      <c r="G189" s="35" t="s">
        <v>549</v>
      </c>
      <c r="H189" s="22"/>
      <c r="I189" s="22"/>
      <c r="J189" s="22"/>
      <c r="K189" s="22"/>
      <c r="L189" s="22"/>
      <c r="M189" s="22"/>
      <c r="N189" s="37"/>
      <c r="O189" s="22"/>
      <c r="P189" s="22"/>
      <c r="Q189" s="22"/>
      <c r="R189" s="22"/>
    </row>
    <row r="190" spans="3:18">
      <c r="C190" s="24"/>
      <c r="D190" s="22"/>
      <c r="E190" s="23" t="str">
        <f t="shared" si="13"/>
        <v>T2.5SpongeOther_Fill_ME_Remark</v>
      </c>
      <c r="F190" s="23" t="str">
        <f>D183&amp;$A$92</f>
        <v>T2.5Sponge</v>
      </c>
      <c r="G190" s="35" t="s">
        <v>852</v>
      </c>
      <c r="H190" s="22"/>
      <c r="I190" s="22"/>
      <c r="J190" s="22"/>
      <c r="K190" s="22"/>
      <c r="L190" s="22"/>
      <c r="M190" s="22"/>
      <c r="N190" s="37"/>
      <c r="O190" s="22"/>
      <c r="P190" s="22"/>
      <c r="Q190" s="22"/>
      <c r="R190" s="22"/>
    </row>
    <row r="191" spans="3:18">
      <c r="C191" s="24"/>
      <c r="D191" s="22"/>
      <c r="E191" s="23" t="str">
        <f t="shared" si="13"/>
        <v/>
      </c>
      <c r="F191" s="23"/>
      <c r="G191" s="35"/>
      <c r="H191" s="22"/>
      <c r="I191" s="22"/>
      <c r="J191" s="22"/>
      <c r="K191" s="22"/>
      <c r="L191" s="22"/>
      <c r="M191" s="22"/>
      <c r="N191" s="37"/>
      <c r="O191" s="22"/>
      <c r="P191" s="22"/>
      <c r="Q191" s="22"/>
      <c r="R191" s="22"/>
    </row>
    <row r="192" spans="3:18">
      <c r="C192" s="24"/>
      <c r="D192" s="22" t="s">
        <v>909</v>
      </c>
      <c r="E192" s="23" t="str">
        <f t="shared" si="13"/>
        <v>T3.0SpongeCR1015</v>
      </c>
      <c r="F192" s="23" t="str">
        <f>D192&amp;$A$92</f>
        <v>T3.0Sponge</v>
      </c>
      <c r="G192" s="35" t="s">
        <v>892</v>
      </c>
      <c r="H192" s="22"/>
      <c r="I192" s="22"/>
      <c r="J192" s="22"/>
      <c r="K192" s="22"/>
      <c r="L192" s="22"/>
      <c r="M192" s="22"/>
      <c r="N192" s="37"/>
      <c r="O192" s="22"/>
      <c r="P192" s="22"/>
      <c r="Q192" s="22"/>
      <c r="R192" s="22"/>
    </row>
    <row r="193" spans="3:18">
      <c r="C193" s="24"/>
      <c r="D193" s="22"/>
      <c r="E193" s="23" t="str">
        <f t="shared" si="13"/>
        <v>T3.0SpongeSM55</v>
      </c>
      <c r="F193" s="23" t="str">
        <f>D192&amp;$A$92</f>
        <v>T3.0Sponge</v>
      </c>
      <c r="G193" s="35" t="s">
        <v>548</v>
      </c>
      <c r="H193" s="22"/>
      <c r="I193" s="22"/>
      <c r="J193" s="22"/>
      <c r="K193" s="22"/>
      <c r="L193" s="22"/>
      <c r="M193" s="22"/>
      <c r="N193" s="37"/>
      <c r="O193" s="22"/>
      <c r="P193" s="22"/>
      <c r="Q193" s="22"/>
      <c r="R193" s="22"/>
    </row>
    <row r="194" spans="3:18">
      <c r="C194" s="24"/>
      <c r="D194" s="22"/>
      <c r="E194" s="23" t="str">
        <f t="shared" si="13"/>
        <v>T3.0SpongeYU356</v>
      </c>
      <c r="F194" s="23" t="str">
        <f>D192&amp;$A$92</f>
        <v>T3.0Sponge</v>
      </c>
      <c r="G194" s="35" t="s">
        <v>550</v>
      </c>
      <c r="H194" s="22"/>
      <c r="I194" s="22"/>
      <c r="J194" s="22"/>
      <c r="K194" s="22"/>
      <c r="L194" s="22"/>
      <c r="M194" s="22"/>
      <c r="N194" s="37"/>
      <c r="O194" s="22"/>
      <c r="P194" s="22"/>
      <c r="Q194" s="22"/>
      <c r="R194" s="22"/>
    </row>
    <row r="195" spans="3:18">
      <c r="C195" s="24"/>
      <c r="D195" s="22"/>
      <c r="E195" s="23" t="str">
        <f t="shared" si="13"/>
        <v>T3.0SpongePMP1800</v>
      </c>
      <c r="F195" s="23" t="str">
        <f>$D$192&amp;$A$92</f>
        <v>T3.0Sponge</v>
      </c>
      <c r="G195" s="35" t="s">
        <v>910</v>
      </c>
      <c r="H195" s="22"/>
      <c r="I195" s="22"/>
      <c r="J195" s="22"/>
      <c r="K195" s="22"/>
      <c r="L195" s="22"/>
      <c r="M195" s="22"/>
      <c r="N195" s="37"/>
      <c r="O195" s="22"/>
      <c r="P195" s="22"/>
      <c r="Q195" s="22"/>
      <c r="R195" s="22"/>
    </row>
    <row r="196" spans="3:18">
      <c r="C196" s="24"/>
      <c r="D196" s="22"/>
      <c r="E196" s="23" t="str">
        <f t="shared" si="13"/>
        <v>T3.0SpongeKVH200</v>
      </c>
      <c r="F196" s="23" t="str">
        <f>$D$192&amp;$A$92</f>
        <v>T3.0Sponge</v>
      </c>
      <c r="G196" s="35" t="s">
        <v>893</v>
      </c>
      <c r="H196" s="22"/>
      <c r="I196" s="22"/>
      <c r="J196" s="22"/>
      <c r="K196" s="22"/>
      <c r="L196" s="22"/>
      <c r="M196" s="22"/>
      <c r="N196" s="37"/>
      <c r="O196" s="22"/>
      <c r="P196" s="22"/>
      <c r="Q196" s="22"/>
      <c r="R196" s="22"/>
    </row>
    <row r="197" spans="3:18">
      <c r="C197" s="24"/>
      <c r="D197" s="22"/>
      <c r="E197" s="23" t="str">
        <f t="shared" si="13"/>
        <v>T3.0SpongePORON_ML32</v>
      </c>
      <c r="F197" s="23" t="str">
        <f>D192&amp;$A$92</f>
        <v>T3.0Sponge</v>
      </c>
      <c r="G197" s="35" t="s">
        <v>549</v>
      </c>
      <c r="H197" s="22"/>
      <c r="I197" s="22"/>
      <c r="J197" s="22"/>
      <c r="K197" s="22"/>
      <c r="L197" s="22"/>
      <c r="M197" s="22"/>
      <c r="N197" s="37"/>
      <c r="O197" s="22"/>
      <c r="P197" s="22"/>
      <c r="Q197" s="22"/>
      <c r="R197" s="22"/>
    </row>
    <row r="198" spans="3:18">
      <c r="C198" s="24"/>
      <c r="D198" s="22"/>
      <c r="E198" s="23" t="str">
        <f t="shared" si="13"/>
        <v>T3.0SpongePORON_SRS24P</v>
      </c>
      <c r="F198" s="23" t="str">
        <f>D192&amp;$A$92</f>
        <v>T3.0Sponge</v>
      </c>
      <c r="G198" s="35" t="s">
        <v>887</v>
      </c>
      <c r="H198" s="22"/>
      <c r="I198" s="22"/>
      <c r="J198" s="22"/>
      <c r="K198" s="22"/>
      <c r="L198" s="22"/>
      <c r="M198" s="22"/>
      <c r="N198" s="37"/>
      <c r="O198" s="22"/>
      <c r="P198" s="22"/>
      <c r="Q198" s="22"/>
      <c r="R198" s="22"/>
    </row>
    <row r="199" spans="3:18">
      <c r="C199" s="24"/>
      <c r="D199" s="22"/>
      <c r="E199" s="23" t="str">
        <f t="shared" si="13"/>
        <v>T3.0SpongeOther_Fill_ME_Remark</v>
      </c>
      <c r="F199" s="23" t="str">
        <f>D192&amp;$A$92</f>
        <v>T3.0Sponge</v>
      </c>
      <c r="G199" s="35" t="s">
        <v>911</v>
      </c>
      <c r="H199" s="22"/>
      <c r="I199" s="22"/>
      <c r="J199" s="22"/>
      <c r="K199" s="22"/>
      <c r="L199" s="22"/>
      <c r="M199" s="22"/>
      <c r="N199" s="37"/>
      <c r="O199" s="22"/>
      <c r="P199" s="22"/>
      <c r="Q199" s="22"/>
      <c r="R199" s="22"/>
    </row>
    <row r="200" spans="3:18">
      <c r="C200" s="24"/>
      <c r="D200" s="22"/>
      <c r="E200" s="23" t="str">
        <f t="shared" si="13"/>
        <v/>
      </c>
      <c r="F200" s="23"/>
      <c r="G200" s="35"/>
      <c r="H200" s="22"/>
      <c r="I200" s="22"/>
      <c r="J200" s="22"/>
      <c r="K200" s="22"/>
      <c r="L200" s="22"/>
      <c r="M200" s="22"/>
      <c r="N200" s="37"/>
      <c r="O200" s="22"/>
      <c r="P200" s="22"/>
      <c r="Q200" s="22"/>
      <c r="R200" s="22"/>
    </row>
    <row r="201" spans="3:18">
      <c r="C201" s="24"/>
      <c r="D201" s="22" t="s">
        <v>912</v>
      </c>
      <c r="E201" s="23" t="str">
        <f t="shared" si="13"/>
        <v>T3.5SpongeE4308</v>
      </c>
      <c r="F201" s="23" t="str">
        <f>D201&amp;$A$92</f>
        <v>T3.5Sponge</v>
      </c>
      <c r="G201" s="35" t="s">
        <v>913</v>
      </c>
      <c r="H201" s="22"/>
      <c r="I201" s="22"/>
      <c r="J201" s="22"/>
      <c r="K201" s="22"/>
      <c r="L201" s="22"/>
      <c r="M201" s="22"/>
      <c r="N201" s="37"/>
      <c r="O201" s="22"/>
      <c r="P201" s="22"/>
      <c r="Q201" s="22"/>
      <c r="R201" s="22"/>
    </row>
    <row r="202" spans="3:18">
      <c r="C202" s="24"/>
      <c r="D202" s="22"/>
      <c r="E202" s="23" t="str">
        <f t="shared" si="13"/>
        <v>T3.5SpongeSM55</v>
      </c>
      <c r="F202" s="23" t="str">
        <f>D201&amp;$A$92</f>
        <v>T3.5Sponge</v>
      </c>
      <c r="G202" s="35" t="s">
        <v>548</v>
      </c>
      <c r="H202" s="22"/>
      <c r="I202" s="22"/>
      <c r="J202" s="22"/>
      <c r="K202" s="22"/>
      <c r="L202" s="22"/>
      <c r="M202" s="22"/>
      <c r="N202" s="37"/>
      <c r="O202" s="22"/>
      <c r="P202" s="22"/>
      <c r="Q202" s="22"/>
      <c r="R202" s="22"/>
    </row>
    <row r="203" spans="3:18">
      <c r="C203" s="24"/>
      <c r="D203" s="22"/>
      <c r="E203" s="23" t="str">
        <f t="shared" si="13"/>
        <v>T3.5SpongeE4382</v>
      </c>
      <c r="F203" s="23" t="str">
        <f>D201&amp;$A$92</f>
        <v>T3.5Sponge</v>
      </c>
      <c r="G203" s="35" t="s">
        <v>554</v>
      </c>
      <c r="H203" s="22"/>
      <c r="I203" s="22"/>
      <c r="J203" s="22"/>
      <c r="K203" s="22"/>
      <c r="L203" s="22"/>
      <c r="M203" s="22"/>
      <c r="N203" s="37"/>
      <c r="O203" s="22"/>
      <c r="P203" s="22"/>
      <c r="Q203" s="22"/>
      <c r="R203" s="22"/>
    </row>
    <row r="204" spans="3:18">
      <c r="C204" s="24"/>
      <c r="D204" s="22"/>
      <c r="E204" s="23" t="str">
        <f t="shared" si="13"/>
        <v>T3.5SpongeOther_Fill_ME_Remark</v>
      </c>
      <c r="F204" s="23" t="str">
        <f>D201&amp;$A$92</f>
        <v>T3.5Sponge</v>
      </c>
      <c r="G204" s="35" t="s">
        <v>527</v>
      </c>
      <c r="H204" s="22"/>
      <c r="I204" s="22"/>
      <c r="J204" s="22"/>
      <c r="K204" s="22"/>
      <c r="L204" s="22"/>
      <c r="M204" s="22"/>
      <c r="N204" s="37"/>
      <c r="O204" s="22"/>
      <c r="P204" s="22"/>
      <c r="Q204" s="22"/>
      <c r="R204" s="22"/>
    </row>
    <row r="205" spans="3:18">
      <c r="C205" s="24"/>
      <c r="D205" s="22"/>
      <c r="E205" s="23" t="str">
        <f t="shared" si="13"/>
        <v/>
      </c>
      <c r="F205" s="23"/>
      <c r="G205" s="35"/>
      <c r="H205" s="22"/>
      <c r="I205" s="22"/>
      <c r="J205" s="22"/>
      <c r="K205" s="22"/>
      <c r="L205" s="22"/>
      <c r="M205" s="22"/>
      <c r="N205" s="37"/>
      <c r="O205" s="22"/>
      <c r="P205" s="22"/>
      <c r="Q205" s="22"/>
      <c r="R205" s="22"/>
    </row>
    <row r="206" spans="3:18">
      <c r="C206" s="24"/>
      <c r="D206" s="22" t="s">
        <v>555</v>
      </c>
      <c r="E206" s="23" t="str">
        <f t="shared" si="13"/>
        <v>T4.0SpongeCR1015</v>
      </c>
      <c r="F206" s="23" t="str">
        <f>D206&amp;$A$92</f>
        <v>T4.0Sponge</v>
      </c>
      <c r="G206" s="35" t="s">
        <v>131</v>
      </c>
      <c r="H206" s="22"/>
      <c r="I206" s="22"/>
      <c r="J206" s="22"/>
      <c r="K206" s="22"/>
      <c r="L206" s="22"/>
      <c r="M206" s="22"/>
      <c r="N206" s="37"/>
      <c r="O206" s="22"/>
      <c r="P206" s="22"/>
      <c r="Q206" s="22"/>
      <c r="R206" s="22"/>
    </row>
    <row r="207" spans="3:18">
      <c r="C207" s="24"/>
      <c r="D207" s="22"/>
      <c r="E207" s="23" t="str">
        <f t="shared" si="13"/>
        <v>T4.0SpongeSM55</v>
      </c>
      <c r="F207" s="23" t="str">
        <f>$D$206&amp;$A$92</f>
        <v>T4.0Sponge</v>
      </c>
      <c r="G207" s="35" t="s">
        <v>548</v>
      </c>
      <c r="H207" s="22"/>
      <c r="I207" s="22"/>
      <c r="J207" s="22"/>
      <c r="K207" s="22"/>
      <c r="L207" s="22"/>
      <c r="M207" s="22"/>
      <c r="N207" s="37"/>
      <c r="O207" s="22"/>
      <c r="P207" s="22"/>
      <c r="Q207" s="22"/>
      <c r="R207" s="22"/>
    </row>
    <row r="208" spans="3:18">
      <c r="C208" s="24"/>
      <c r="D208" s="22"/>
      <c r="E208" s="23" t="str">
        <f t="shared" si="13"/>
        <v>T4.0SpongeKVH200</v>
      </c>
      <c r="F208" s="23" t="str">
        <f>$D$206&amp;$A$92</f>
        <v>T4.0Sponge</v>
      </c>
      <c r="G208" s="35" t="s">
        <v>893</v>
      </c>
      <c r="H208" s="22"/>
      <c r="I208" s="22"/>
      <c r="J208" s="22"/>
      <c r="K208" s="22"/>
      <c r="L208" s="22"/>
      <c r="M208" s="22"/>
      <c r="N208" s="37"/>
      <c r="O208" s="22"/>
      <c r="P208" s="22"/>
      <c r="Q208" s="22"/>
      <c r="R208" s="22"/>
    </row>
    <row r="209" spans="3:18">
      <c r="C209" s="24"/>
      <c r="D209" s="22"/>
      <c r="E209" s="23" t="str">
        <f t="shared" si="13"/>
        <v>T4.0SpongePORON_ML32</v>
      </c>
      <c r="F209" s="23" t="str">
        <f>D206&amp;$A$92</f>
        <v>T4.0Sponge</v>
      </c>
      <c r="G209" s="35" t="s">
        <v>549</v>
      </c>
      <c r="H209" s="22"/>
      <c r="I209" s="22"/>
      <c r="J209" s="22"/>
      <c r="K209" s="22"/>
      <c r="L209" s="22"/>
      <c r="M209" s="22"/>
      <c r="N209" s="37"/>
      <c r="O209" s="22"/>
      <c r="P209" s="22"/>
      <c r="Q209" s="22"/>
      <c r="R209" s="22"/>
    </row>
    <row r="210" spans="3:18">
      <c r="C210" s="24"/>
      <c r="D210" s="22"/>
      <c r="E210" s="23" t="str">
        <f t="shared" si="13"/>
        <v>T4.0SpongeOther_Fill_ME_Remark</v>
      </c>
      <c r="F210" s="23" t="str">
        <f>D206&amp;$A$92</f>
        <v>T4.0Sponge</v>
      </c>
      <c r="G210" s="35" t="s">
        <v>527</v>
      </c>
      <c r="H210" s="22"/>
      <c r="I210" s="22"/>
      <c r="J210" s="22"/>
      <c r="K210" s="22"/>
      <c r="L210" s="22"/>
      <c r="M210" s="22"/>
      <c r="N210" s="37"/>
      <c r="O210" s="22"/>
      <c r="P210" s="22"/>
      <c r="Q210" s="22"/>
      <c r="R210" s="22"/>
    </row>
    <row r="211" spans="3:18">
      <c r="C211" s="24"/>
      <c r="D211" s="22"/>
      <c r="E211" s="23" t="str">
        <f t="shared" si="13"/>
        <v/>
      </c>
      <c r="F211" s="23"/>
      <c r="G211" s="35"/>
      <c r="H211" s="22"/>
      <c r="I211" s="22"/>
      <c r="J211" s="22"/>
      <c r="K211" s="22"/>
      <c r="L211" s="22"/>
      <c r="M211" s="22"/>
      <c r="N211" s="37"/>
      <c r="O211" s="22"/>
      <c r="P211" s="22"/>
      <c r="Q211" s="22"/>
      <c r="R211" s="22"/>
    </row>
    <row r="212" spans="3:18">
      <c r="D212" s="22" t="s">
        <v>546</v>
      </c>
      <c r="E212" s="23" t="str">
        <f t="shared" si="13"/>
        <v>T4.5SpongeEVA</v>
      </c>
      <c r="F212" s="23" t="str">
        <f>D212&amp;$A$92</f>
        <v>T4.5Sponge</v>
      </c>
      <c r="G212" s="35" t="s">
        <v>545</v>
      </c>
      <c r="H212" s="22"/>
      <c r="I212" s="22"/>
      <c r="J212" s="22"/>
      <c r="K212" s="22"/>
      <c r="L212" s="22"/>
      <c r="M212" s="22"/>
      <c r="N212" s="37"/>
      <c r="O212" s="22"/>
      <c r="P212" s="22"/>
      <c r="Q212" s="22"/>
      <c r="R212" s="22"/>
    </row>
    <row r="213" spans="3:18">
      <c r="C213" s="25"/>
      <c r="D213" s="22"/>
      <c r="E213" s="23" t="str">
        <f t="shared" si="13"/>
        <v>T4.5SpongeSM55</v>
      </c>
      <c r="F213" s="23" t="str">
        <f>D212&amp;$A$92</f>
        <v>T4.5Sponge</v>
      </c>
      <c r="G213" s="35" t="s">
        <v>548</v>
      </c>
      <c r="H213" s="22"/>
      <c r="I213" s="22"/>
      <c r="J213" s="22"/>
      <c r="K213" s="22"/>
      <c r="L213" s="22"/>
      <c r="M213" s="22"/>
      <c r="N213" s="37"/>
      <c r="O213" s="22"/>
      <c r="P213" s="22"/>
      <c r="Q213" s="22"/>
      <c r="R213" s="22"/>
    </row>
    <row r="214" spans="3:18">
      <c r="C214" s="27"/>
      <c r="D214" s="22"/>
      <c r="E214" s="23" t="str">
        <f t="shared" si="13"/>
        <v>T4.5SpongeE4308</v>
      </c>
      <c r="F214" s="23" t="str">
        <f>D212&amp;$A$92</f>
        <v>T4.5Sponge</v>
      </c>
      <c r="G214" s="35" t="s">
        <v>913</v>
      </c>
      <c r="H214" s="22"/>
      <c r="I214" s="22"/>
      <c r="J214" s="22"/>
      <c r="K214" s="22"/>
      <c r="L214" s="22"/>
      <c r="M214" s="22"/>
      <c r="N214" s="37"/>
      <c r="O214" s="22"/>
      <c r="P214" s="22"/>
      <c r="Q214" s="22"/>
      <c r="R214" s="22"/>
    </row>
    <row r="215" spans="3:18">
      <c r="C215" s="24"/>
      <c r="D215" s="22"/>
      <c r="E215" s="23" t="str">
        <f t="shared" si="13"/>
        <v>T4.5SpongeYU55</v>
      </c>
      <c r="F215" s="23" t="str">
        <f>D212&amp;$A$92</f>
        <v>T4.5Sponge</v>
      </c>
      <c r="G215" s="35" t="s">
        <v>551</v>
      </c>
      <c r="H215" s="22"/>
      <c r="I215" s="22"/>
      <c r="J215" s="22"/>
      <c r="K215" s="22"/>
      <c r="L215" s="22"/>
      <c r="M215" s="22"/>
      <c r="N215" s="37"/>
      <c r="O215" s="22"/>
      <c r="P215" s="22"/>
      <c r="Q215" s="22"/>
      <c r="R215" s="22"/>
    </row>
    <row r="216" spans="3:18">
      <c r="C216" s="24"/>
      <c r="D216" s="22"/>
      <c r="E216" s="23" t="str">
        <f t="shared" si="13"/>
        <v>T4.5SpongeE4382</v>
      </c>
      <c r="F216" s="23" t="str">
        <f>D212&amp;$A$92</f>
        <v>T4.5Sponge</v>
      </c>
      <c r="G216" s="35" t="s">
        <v>554</v>
      </c>
      <c r="H216" s="22"/>
      <c r="I216" s="22"/>
      <c r="J216" s="22"/>
      <c r="K216" s="22"/>
      <c r="L216" s="22"/>
      <c r="M216" s="22"/>
      <c r="N216" s="37"/>
      <c r="O216" s="22"/>
      <c r="P216" s="22"/>
      <c r="Q216" s="22"/>
      <c r="R216" s="22"/>
    </row>
    <row r="217" spans="3:18">
      <c r="C217" s="24"/>
      <c r="D217" s="22"/>
      <c r="E217" s="23" t="str">
        <f t="shared" si="13"/>
        <v>T4.5SpongeOther_Fill_ME_Remark</v>
      </c>
      <c r="F217" s="23" t="str">
        <f>D212&amp;$A$92</f>
        <v>T4.5Sponge</v>
      </c>
      <c r="G217" s="35" t="s">
        <v>882</v>
      </c>
      <c r="H217" s="22"/>
      <c r="I217" s="22"/>
      <c r="J217" s="22"/>
      <c r="K217" s="22"/>
      <c r="L217" s="22"/>
      <c r="M217" s="22"/>
      <c r="N217" s="37"/>
      <c r="O217" s="22"/>
      <c r="P217" s="22"/>
      <c r="Q217" s="22"/>
      <c r="R217" s="22"/>
    </row>
    <row r="218" spans="3:18">
      <c r="C218" s="24"/>
      <c r="D218" s="22"/>
      <c r="E218" s="23" t="str">
        <f t="shared" si="13"/>
        <v/>
      </c>
      <c r="F218" s="23"/>
      <c r="G218" s="35"/>
      <c r="H218" s="22"/>
      <c r="I218" s="22"/>
      <c r="J218" s="22"/>
      <c r="K218" s="22"/>
      <c r="L218" s="22"/>
      <c r="M218" s="22"/>
      <c r="N218" s="37"/>
      <c r="O218" s="22"/>
      <c r="P218" s="22"/>
      <c r="Q218" s="22"/>
      <c r="R218" s="22"/>
    </row>
    <row r="219" spans="3:18">
      <c r="C219" s="24"/>
      <c r="D219" s="22" t="s">
        <v>914</v>
      </c>
      <c r="E219" s="23" t="str">
        <f t="shared" si="13"/>
        <v>T5.0SpongeCR1015</v>
      </c>
      <c r="F219" s="23" t="str">
        <f>D219&amp;$A$92</f>
        <v>T5.0Sponge</v>
      </c>
      <c r="G219" s="35" t="s">
        <v>915</v>
      </c>
      <c r="H219" s="22"/>
      <c r="I219" s="22"/>
      <c r="J219" s="22"/>
      <c r="K219" s="22"/>
      <c r="L219" s="22"/>
      <c r="M219" s="22"/>
      <c r="N219" s="37"/>
      <c r="O219" s="22"/>
      <c r="P219" s="22"/>
      <c r="Q219" s="22"/>
      <c r="R219" s="22"/>
    </row>
    <row r="220" spans="3:18">
      <c r="C220" s="24"/>
      <c r="D220" s="22"/>
      <c r="E220" s="23" t="str">
        <f t="shared" si="13"/>
        <v>T5.0SpongeSM55</v>
      </c>
      <c r="F220" s="23" t="str">
        <f>$D$219&amp;$A$92</f>
        <v>T5.0Sponge</v>
      </c>
      <c r="G220" s="35" t="s">
        <v>548</v>
      </c>
      <c r="H220" s="22"/>
      <c r="I220" s="22"/>
      <c r="J220" s="22"/>
      <c r="K220" s="22"/>
      <c r="L220" s="22"/>
      <c r="M220" s="22"/>
      <c r="N220" s="37"/>
      <c r="O220" s="22"/>
      <c r="P220" s="22"/>
      <c r="Q220" s="22"/>
      <c r="R220" s="22"/>
    </row>
    <row r="221" spans="3:18">
      <c r="C221" s="24"/>
      <c r="D221" s="22"/>
      <c r="E221" s="23" t="str">
        <f t="shared" si="13"/>
        <v>T5.0SpongeKVH200</v>
      </c>
      <c r="F221" s="23" t="str">
        <f>$D$219&amp;$A$92</f>
        <v>T5.0Sponge</v>
      </c>
      <c r="G221" s="35" t="s">
        <v>916</v>
      </c>
      <c r="H221" s="22"/>
      <c r="I221" s="22"/>
      <c r="J221" s="22"/>
      <c r="K221" s="22"/>
      <c r="L221" s="22"/>
      <c r="M221" s="22"/>
      <c r="N221" s="37"/>
      <c r="O221" s="22"/>
      <c r="P221" s="22"/>
      <c r="Q221" s="22"/>
      <c r="R221" s="22"/>
    </row>
    <row r="222" spans="3:18">
      <c r="C222" s="24"/>
      <c r="D222" s="22"/>
      <c r="E222" s="23" t="str">
        <f t="shared" si="13"/>
        <v>T5.0SpongePORON_ML32</v>
      </c>
      <c r="F222" s="23" t="str">
        <f>$D$219&amp;$A$92</f>
        <v>T5.0Sponge</v>
      </c>
      <c r="G222" s="35" t="s">
        <v>917</v>
      </c>
      <c r="H222" s="22"/>
      <c r="I222" s="22"/>
      <c r="J222" s="22"/>
      <c r="K222" s="22"/>
      <c r="L222" s="22"/>
      <c r="M222" s="22"/>
      <c r="N222" s="37"/>
      <c r="O222" s="22"/>
      <c r="P222" s="22"/>
      <c r="Q222" s="22"/>
      <c r="R222" s="22"/>
    </row>
    <row r="223" spans="3:18">
      <c r="C223" s="24"/>
      <c r="D223" s="22"/>
      <c r="E223" s="23" t="str">
        <f t="shared" si="13"/>
        <v>T5.0SpongeOther_Fill_ME_Remark</v>
      </c>
      <c r="F223" s="23" t="str">
        <f>$D$219&amp;$A$92</f>
        <v>T5.0Sponge</v>
      </c>
      <c r="G223" s="35" t="s">
        <v>527</v>
      </c>
      <c r="H223" s="22"/>
      <c r="I223" s="22"/>
      <c r="J223" s="22"/>
      <c r="K223" s="22"/>
      <c r="L223" s="22"/>
      <c r="M223" s="22"/>
      <c r="N223" s="37"/>
      <c r="O223" s="22"/>
      <c r="P223" s="22"/>
      <c r="Q223" s="22"/>
      <c r="R223" s="22"/>
    </row>
    <row r="224" spans="3:18">
      <c r="C224" s="24"/>
      <c r="D224" s="22"/>
      <c r="E224" s="23" t="str">
        <f t="shared" ref="E224" si="14">G224&amp;F224</f>
        <v/>
      </c>
      <c r="F224" s="23"/>
      <c r="G224" s="35"/>
      <c r="H224" s="22"/>
      <c r="I224" s="22"/>
      <c r="J224" s="22"/>
      <c r="K224" s="22"/>
      <c r="L224" s="22"/>
      <c r="M224" s="22"/>
      <c r="N224" s="37"/>
      <c r="O224" s="22"/>
      <c r="P224" s="22"/>
      <c r="Q224" s="22"/>
      <c r="R224" s="22"/>
    </row>
    <row r="225" spans="1:18">
      <c r="C225" s="24"/>
      <c r="H225" s="22"/>
      <c r="I225" s="22"/>
      <c r="J225" s="22"/>
      <c r="K225" s="22"/>
      <c r="L225" s="22"/>
      <c r="M225" s="22"/>
      <c r="N225" s="37"/>
      <c r="O225" s="22"/>
      <c r="P225" s="22"/>
      <c r="Q225" s="22"/>
      <c r="R225" s="22"/>
    </row>
    <row r="226" spans="1:18">
      <c r="A226" s="24"/>
      <c r="B226" s="24"/>
      <c r="C226" s="24"/>
      <c r="D226" s="26"/>
      <c r="E226" s="27"/>
      <c r="F226" s="24"/>
      <c r="G226" s="41"/>
      <c r="H226" s="22"/>
      <c r="I226" s="22"/>
      <c r="J226" s="22"/>
      <c r="K226" s="22"/>
      <c r="L226" s="155"/>
      <c r="M226" s="155"/>
      <c r="N226" s="37"/>
      <c r="O226" s="22"/>
      <c r="P226" s="22"/>
      <c r="Q226" s="22"/>
      <c r="R226" s="22"/>
    </row>
    <row r="227" spans="1:18">
      <c r="A227" s="29" t="s">
        <v>601</v>
      </c>
      <c r="B227" s="30" t="s">
        <v>495</v>
      </c>
      <c r="C227" s="25"/>
      <c r="D227" s="29" t="s">
        <v>101</v>
      </c>
      <c r="E227" s="29" t="s">
        <v>867</v>
      </c>
      <c r="F227" s="30" t="s">
        <v>495</v>
      </c>
      <c r="G227" s="31" t="s">
        <v>493</v>
      </c>
      <c r="H227" s="22"/>
      <c r="I227" s="22"/>
      <c r="J227" s="33"/>
      <c r="K227" s="33"/>
      <c r="L227" s="33"/>
      <c r="M227" s="33"/>
      <c r="N227" s="37"/>
      <c r="O227" s="33"/>
      <c r="P227" s="33"/>
      <c r="Q227" s="33"/>
      <c r="R227" s="33"/>
    </row>
    <row r="228" spans="1:18">
      <c r="A228" s="22">
        <v>1</v>
      </c>
      <c r="B228" s="23" t="str">
        <f>D228&amp;$A$227</f>
        <v>T0.05Protection</v>
      </c>
      <c r="C228" s="25"/>
      <c r="D228" s="22" t="s">
        <v>526</v>
      </c>
      <c r="E228" s="23" t="str">
        <f>F228&amp;G228</f>
        <v>T0.05ProtectionFZ_015E保護膜_8515B</v>
      </c>
      <c r="F228" s="23" t="str">
        <f>D228&amp;$A$227</f>
        <v>T0.05Protection</v>
      </c>
      <c r="G228" s="43" t="s">
        <v>556</v>
      </c>
      <c r="H228" s="22"/>
      <c r="I228" s="22"/>
      <c r="J228" s="44"/>
      <c r="K228" s="22"/>
      <c r="L228" s="44"/>
      <c r="M228" s="44"/>
      <c r="N228" s="37"/>
      <c r="O228" s="22"/>
      <c r="P228" s="22"/>
      <c r="Q228" s="22"/>
      <c r="R228" s="22"/>
    </row>
    <row r="229" spans="1:18">
      <c r="A229" s="22">
        <v>2</v>
      </c>
      <c r="B229" s="23" t="str">
        <f>D237&amp;$A$227</f>
        <v>T0.06Protection</v>
      </c>
      <c r="C229" s="25"/>
      <c r="D229" s="22"/>
      <c r="E229" s="23" t="str">
        <f t="shared" ref="E229:E253" si="15">F229&amp;G229</f>
        <v>T0.05ProtectionPE_T_58保護膜</v>
      </c>
      <c r="F229" s="23" t="str">
        <f>D228&amp;$A$227</f>
        <v>T0.05Protection</v>
      </c>
      <c r="G229" s="43" t="s">
        <v>557</v>
      </c>
      <c r="H229" s="22"/>
      <c r="I229" s="22"/>
      <c r="J229" s="44"/>
      <c r="K229" s="22"/>
      <c r="L229" s="44"/>
      <c r="M229" s="44"/>
      <c r="N229" s="37"/>
      <c r="O229" s="22"/>
      <c r="P229" s="22"/>
      <c r="Q229" s="22"/>
      <c r="R229" s="22"/>
    </row>
    <row r="230" spans="1:18">
      <c r="A230" s="22"/>
      <c r="B230" s="23" t="str">
        <f>D242&amp;$A$227</f>
        <v>T0.075Protection</v>
      </c>
      <c r="C230" s="25"/>
      <c r="D230" s="22"/>
      <c r="E230" s="23" t="str">
        <f t="shared" si="15"/>
        <v>T0.05ProtectionSJ_450P保護膜</v>
      </c>
      <c r="F230" s="23" t="str">
        <f>D228&amp;$A$227</f>
        <v>T0.05Protection</v>
      </c>
      <c r="G230" s="43" t="s">
        <v>558</v>
      </c>
      <c r="H230" s="22"/>
      <c r="I230" s="22"/>
      <c r="J230" s="44"/>
      <c r="K230" s="22"/>
      <c r="L230" s="44"/>
      <c r="M230" s="44"/>
      <c r="N230" s="37"/>
      <c r="O230" s="22"/>
      <c r="P230" s="22"/>
      <c r="Q230" s="22"/>
      <c r="R230" s="22"/>
    </row>
    <row r="231" spans="1:18">
      <c r="A231" s="22">
        <v>3</v>
      </c>
      <c r="B231" s="23" t="str">
        <f>D246&amp;$A$227</f>
        <v>T0.1Protection</v>
      </c>
      <c r="C231" s="25"/>
      <c r="D231" s="22"/>
      <c r="E231" s="23" t="str">
        <f t="shared" si="15"/>
        <v>T0.05ProtectionPE_W150保護膜</v>
      </c>
      <c r="F231" s="23" t="str">
        <f>$D$228&amp;$A$227</f>
        <v>T0.05Protection</v>
      </c>
      <c r="G231" s="43" t="s">
        <v>559</v>
      </c>
      <c r="H231" s="22"/>
      <c r="I231" s="22"/>
      <c r="J231" s="44"/>
      <c r="K231" s="22"/>
      <c r="L231" s="44"/>
      <c r="M231" s="44"/>
      <c r="N231" s="37"/>
      <c r="O231" s="22"/>
      <c r="P231" s="22"/>
      <c r="Q231" s="22"/>
      <c r="R231" s="22"/>
    </row>
    <row r="232" spans="1:18">
      <c r="A232" s="22">
        <v>4</v>
      </c>
      <c r="B232" s="23" t="s">
        <v>604</v>
      </c>
      <c r="C232" s="25"/>
      <c r="D232" s="22"/>
      <c r="E232" s="23" t="str">
        <f t="shared" si="15"/>
        <v>T0.05ProtectionTR-5001-LP</v>
      </c>
      <c r="F232" s="23" t="str">
        <f>$D$228&amp;$A$227</f>
        <v>T0.05Protection</v>
      </c>
      <c r="G232" s="43" t="s">
        <v>615</v>
      </c>
      <c r="H232" s="22"/>
      <c r="I232" s="22"/>
      <c r="J232" s="44"/>
      <c r="K232" s="22"/>
      <c r="L232" s="44"/>
      <c r="M232" s="44"/>
      <c r="N232" s="37"/>
      <c r="O232" s="22"/>
      <c r="P232" s="22"/>
      <c r="Q232" s="22"/>
      <c r="R232" s="22"/>
    </row>
    <row r="233" spans="1:18">
      <c r="A233" s="22">
        <v>5</v>
      </c>
      <c r="B233" s="23"/>
      <c r="C233" s="25"/>
      <c r="D233" s="22"/>
      <c r="E233" s="23" t="str">
        <f t="shared" si="15"/>
        <v>T0.05ProtectionTR-5001-MP</v>
      </c>
      <c r="F233" s="23" t="str">
        <f>$D$228&amp;$A$227</f>
        <v>T0.05Protection</v>
      </c>
      <c r="G233" s="43" t="s">
        <v>616</v>
      </c>
      <c r="H233" s="22"/>
      <c r="I233" s="22"/>
      <c r="J233" s="44"/>
      <c r="K233" s="22"/>
      <c r="L233" s="44"/>
      <c r="M233" s="44"/>
      <c r="N233" s="37"/>
      <c r="O233" s="22"/>
      <c r="P233" s="22"/>
      <c r="Q233" s="22"/>
      <c r="R233" s="22"/>
    </row>
    <row r="234" spans="1:18">
      <c r="A234" s="26"/>
      <c r="B234" s="24"/>
      <c r="D234" s="22"/>
      <c r="E234" s="23" t="str">
        <f t="shared" si="15"/>
        <v>T0.05ProtectionTR-5001-HP</v>
      </c>
      <c r="F234" s="23" t="str">
        <f>$D$228&amp;$A$227</f>
        <v>T0.05Protection</v>
      </c>
      <c r="G234" s="43" t="s">
        <v>918</v>
      </c>
      <c r="H234" s="22"/>
      <c r="I234" s="22"/>
      <c r="J234" s="44"/>
      <c r="K234" s="22"/>
      <c r="L234" s="44"/>
      <c r="M234" s="44"/>
      <c r="N234" s="37"/>
      <c r="O234" s="22"/>
      <c r="P234" s="22"/>
      <c r="Q234" s="22"/>
      <c r="R234" s="22"/>
    </row>
    <row r="235" spans="1:18">
      <c r="A235" s="26"/>
      <c r="B235" s="24"/>
      <c r="C235" s="25"/>
      <c r="D235" s="22"/>
      <c r="E235" s="23" t="str">
        <f t="shared" si="15"/>
        <v>T0.05ProtectionOther_Fill_ME_Remark</v>
      </c>
      <c r="F235" s="23" t="str">
        <f>D228&amp;$A$227</f>
        <v>T0.05Protection</v>
      </c>
      <c r="G235" s="35" t="s">
        <v>859</v>
      </c>
      <c r="H235" s="22"/>
      <c r="I235" s="22"/>
      <c r="J235" s="44"/>
      <c r="K235" s="22"/>
      <c r="L235" s="44"/>
      <c r="M235" s="44"/>
      <c r="N235" s="37"/>
      <c r="O235" s="22"/>
      <c r="P235" s="22"/>
      <c r="Q235" s="22"/>
      <c r="R235" s="22"/>
    </row>
    <row r="236" spans="1:18">
      <c r="A236" s="26"/>
      <c r="B236" s="24"/>
      <c r="C236" s="27"/>
      <c r="D236" s="22"/>
      <c r="E236" s="23"/>
      <c r="F236" s="23"/>
      <c r="G236" s="43"/>
      <c r="H236" s="22"/>
      <c r="I236" s="22"/>
      <c r="J236" s="44"/>
      <c r="K236" s="22"/>
      <c r="L236" s="44"/>
      <c r="M236" s="44"/>
      <c r="N236" s="37"/>
      <c r="O236" s="22"/>
      <c r="P236" s="22"/>
      <c r="Q236" s="22"/>
      <c r="R236" s="22"/>
    </row>
    <row r="237" spans="1:18">
      <c r="A237" s="26"/>
      <c r="B237" s="24"/>
      <c r="C237" s="27"/>
      <c r="D237" s="22" t="s">
        <v>919</v>
      </c>
      <c r="E237" s="23" t="str">
        <f t="shared" si="15"/>
        <v>T0.06ProtectionRH7027</v>
      </c>
      <c r="F237" s="23" t="str">
        <f>D237&amp;$A$227</f>
        <v>T0.06Protection</v>
      </c>
      <c r="G237" s="43" t="s">
        <v>920</v>
      </c>
      <c r="H237" s="22"/>
      <c r="I237" s="22"/>
      <c r="J237" s="44"/>
      <c r="K237" s="22"/>
      <c r="L237" s="44"/>
      <c r="M237" s="44"/>
      <c r="N237" s="37"/>
      <c r="O237" s="22"/>
      <c r="P237" s="22"/>
      <c r="Q237" s="22"/>
      <c r="R237" s="22"/>
    </row>
    <row r="238" spans="1:18">
      <c r="A238" s="26"/>
      <c r="B238" s="24"/>
      <c r="C238" s="27"/>
      <c r="D238" s="22"/>
      <c r="E238" s="23" t="str">
        <f t="shared" si="15"/>
        <v>T0.06ProtectionPET_E_006</v>
      </c>
      <c r="F238" s="23" t="str">
        <f>D237&amp;$A$227</f>
        <v>T0.06Protection</v>
      </c>
      <c r="G238" s="43" t="s">
        <v>605</v>
      </c>
      <c r="H238" s="22"/>
      <c r="I238" s="22"/>
      <c r="J238" s="44"/>
      <c r="K238" s="22"/>
      <c r="L238" s="44"/>
      <c r="M238" s="44"/>
      <c r="N238" s="37"/>
      <c r="O238" s="22"/>
      <c r="P238" s="22"/>
      <c r="Q238" s="22"/>
      <c r="R238" s="22"/>
    </row>
    <row r="239" spans="1:18">
      <c r="A239" s="26"/>
      <c r="B239" s="24"/>
      <c r="C239" s="27"/>
      <c r="D239" s="152"/>
      <c r="E239" s="153" t="str">
        <f t="shared" si="15"/>
        <v>T0.06ProtectionMX6500</v>
      </c>
      <c r="F239" s="153" t="str">
        <f>D237&amp;$A$227</f>
        <v>T0.06Protection</v>
      </c>
      <c r="G239" s="156" t="s">
        <v>921</v>
      </c>
      <c r="H239" s="22"/>
      <c r="I239" s="22"/>
      <c r="J239" s="44"/>
      <c r="K239" s="22"/>
      <c r="L239" s="44"/>
      <c r="M239" s="44"/>
      <c r="N239" s="37"/>
      <c r="O239" s="22"/>
      <c r="P239" s="22"/>
      <c r="Q239" s="22"/>
      <c r="R239" s="22"/>
    </row>
    <row r="240" spans="1:18">
      <c r="A240" s="26"/>
      <c r="B240" s="24"/>
      <c r="C240" s="27"/>
      <c r="D240" s="22"/>
      <c r="E240" s="23" t="str">
        <f t="shared" si="15"/>
        <v>T0.06ProtectionOther_Fill_ME_Remark</v>
      </c>
      <c r="F240" s="23" t="str">
        <f>D237&amp;$A$227</f>
        <v>T0.06Protection</v>
      </c>
      <c r="G240" s="35" t="s">
        <v>859</v>
      </c>
      <c r="H240" s="22"/>
      <c r="I240" s="22"/>
      <c r="J240" s="22"/>
      <c r="K240" s="22"/>
      <c r="L240" s="22"/>
      <c r="M240" s="22"/>
      <c r="N240" s="37"/>
      <c r="O240" s="22"/>
      <c r="P240" s="22"/>
      <c r="Q240" s="22"/>
      <c r="R240" s="22"/>
    </row>
    <row r="241" spans="1:18">
      <c r="A241" s="26"/>
      <c r="B241" s="24"/>
      <c r="C241" s="24"/>
      <c r="D241" s="22"/>
      <c r="E241" s="23" t="str">
        <f t="shared" si="15"/>
        <v/>
      </c>
      <c r="F241" s="23"/>
      <c r="G241" s="35"/>
      <c r="H241" s="22"/>
      <c r="I241" s="22"/>
      <c r="J241" s="22"/>
      <c r="K241" s="22"/>
      <c r="L241" s="22"/>
      <c r="M241" s="22"/>
      <c r="N241" s="37"/>
      <c r="O241" s="22"/>
      <c r="P241" s="22"/>
      <c r="Q241" s="22"/>
      <c r="R241" s="22"/>
    </row>
    <row r="242" spans="1:18">
      <c r="A242" s="26"/>
      <c r="B242" s="24"/>
      <c r="C242" s="24"/>
      <c r="D242" s="22" t="s">
        <v>922</v>
      </c>
      <c r="E242" s="23" t="str">
        <f t="shared" si="15"/>
        <v>T0.075ProtectionQLD-G1208P-60A</v>
      </c>
      <c r="F242" s="23" t="str">
        <f>$D$242&amp;$A$227</f>
        <v>T0.075Protection</v>
      </c>
      <c r="G242" s="35" t="s">
        <v>923</v>
      </c>
      <c r="H242" s="22"/>
      <c r="I242" s="22"/>
      <c r="J242" s="22"/>
      <c r="K242" s="22"/>
      <c r="L242" s="22"/>
      <c r="M242" s="22"/>
      <c r="N242" s="37"/>
      <c r="O242" s="22"/>
      <c r="P242" s="22"/>
      <c r="Q242" s="22"/>
      <c r="R242" s="22"/>
    </row>
    <row r="243" spans="1:18">
      <c r="A243" s="26"/>
      <c r="B243" s="24"/>
      <c r="C243" s="24"/>
      <c r="D243" s="22"/>
      <c r="E243" s="23" t="str">
        <f t="shared" si="15"/>
        <v>T0.075ProtectionTR-7501-H2P</v>
      </c>
      <c r="F243" s="23" t="str">
        <f>$D$242&amp;$A$227</f>
        <v>T0.075Protection</v>
      </c>
      <c r="G243" s="35" t="s">
        <v>924</v>
      </c>
      <c r="H243" s="22"/>
      <c r="I243" s="22"/>
      <c r="J243" s="22"/>
      <c r="K243" s="22"/>
      <c r="L243" s="22"/>
      <c r="M243" s="22"/>
      <c r="N243" s="37"/>
      <c r="O243" s="22"/>
      <c r="P243" s="22"/>
      <c r="Q243" s="22"/>
      <c r="R243" s="22"/>
    </row>
    <row r="244" spans="1:18">
      <c r="A244" s="26"/>
      <c r="B244" s="24"/>
      <c r="C244" s="24"/>
      <c r="D244" s="22"/>
      <c r="E244" s="23" t="str">
        <f t="shared" si="15"/>
        <v>T0.075ProtectionOther_Fill_ME_Remark</v>
      </c>
      <c r="F244" s="23" t="str">
        <f>$D$242&amp;$A$227</f>
        <v>T0.075Protection</v>
      </c>
      <c r="G244" s="35" t="s">
        <v>859</v>
      </c>
      <c r="H244" s="22"/>
      <c r="I244" s="22"/>
      <c r="J244" s="22"/>
      <c r="K244" s="22"/>
      <c r="L244" s="22"/>
      <c r="M244" s="22"/>
      <c r="N244" s="37"/>
      <c r="O244" s="22"/>
      <c r="P244" s="22"/>
      <c r="Q244" s="22"/>
      <c r="R244" s="22"/>
    </row>
    <row r="245" spans="1:18">
      <c r="A245" s="26"/>
      <c r="B245" s="24"/>
      <c r="C245" s="24"/>
      <c r="D245" s="22"/>
      <c r="E245" s="23" t="str">
        <f t="shared" si="15"/>
        <v/>
      </c>
      <c r="F245" s="23"/>
      <c r="G245" s="35"/>
      <c r="H245" s="22"/>
      <c r="I245" s="22"/>
      <c r="J245" s="22"/>
      <c r="K245" s="22"/>
      <c r="L245" s="22"/>
      <c r="M245" s="22"/>
      <c r="N245" s="37"/>
      <c r="O245" s="22"/>
      <c r="P245" s="22"/>
      <c r="Q245" s="22"/>
      <c r="R245" s="22"/>
    </row>
    <row r="246" spans="1:18">
      <c r="A246" s="25"/>
      <c r="B246" s="24"/>
      <c r="C246" s="24"/>
      <c r="D246" s="22" t="s">
        <v>925</v>
      </c>
      <c r="E246" s="23" t="str">
        <f t="shared" si="15"/>
        <v>T0.1ProtectionTR_1001_H_20_30G</v>
      </c>
      <c r="F246" s="23" t="str">
        <f>D246&amp;$A$227</f>
        <v>T0.1Protection</v>
      </c>
      <c r="G246" s="46" t="s">
        <v>926</v>
      </c>
      <c r="H246" s="22"/>
      <c r="I246" s="22"/>
      <c r="J246" s="47"/>
      <c r="K246" s="47"/>
      <c r="L246" s="48"/>
      <c r="M246" s="48"/>
      <c r="N246" s="37"/>
      <c r="O246" s="22"/>
      <c r="P246" s="47"/>
      <c r="Q246" s="22"/>
      <c r="R246" s="22"/>
    </row>
    <row r="247" spans="1:18">
      <c r="A247" s="25"/>
      <c r="B247" s="24"/>
      <c r="C247" s="24"/>
      <c r="D247" s="22"/>
      <c r="E247" s="23" t="str">
        <f t="shared" si="15"/>
        <v>T0.1ProtectionTR_1001_L_6_12G</v>
      </c>
      <c r="F247" s="23" t="str">
        <f>D246&amp;$A$227</f>
        <v>T0.1Protection</v>
      </c>
      <c r="G247" s="46" t="s">
        <v>927</v>
      </c>
      <c r="H247" s="22"/>
      <c r="I247" s="22"/>
      <c r="J247" s="47"/>
      <c r="K247" s="47"/>
      <c r="L247" s="48"/>
      <c r="M247" s="48"/>
      <c r="N247" s="37"/>
      <c r="O247" s="22"/>
      <c r="P247" s="47"/>
      <c r="Q247" s="22"/>
      <c r="R247" s="22"/>
    </row>
    <row r="248" spans="1:18">
      <c r="A248" s="25"/>
      <c r="B248" s="24"/>
      <c r="C248" s="25"/>
      <c r="D248" s="22"/>
      <c r="E248" s="23" t="str">
        <f t="shared" si="15"/>
        <v>T0.1ProtectionTR_1001_LL_3_6G</v>
      </c>
      <c r="F248" s="23" t="str">
        <f>D246&amp;$A$227</f>
        <v>T0.1Protection</v>
      </c>
      <c r="G248" s="46" t="s">
        <v>928</v>
      </c>
      <c r="H248" s="22"/>
      <c r="I248" s="22"/>
      <c r="J248" s="47"/>
      <c r="K248" s="47"/>
      <c r="L248" s="48"/>
      <c r="M248" s="48"/>
      <c r="N248" s="37"/>
      <c r="O248" s="22"/>
      <c r="P248" s="47"/>
      <c r="Q248" s="22"/>
      <c r="R248" s="22"/>
    </row>
    <row r="249" spans="1:18">
      <c r="A249" s="25"/>
      <c r="B249" s="24"/>
      <c r="C249" s="25"/>
      <c r="D249" s="22"/>
      <c r="E249" s="23" t="str">
        <f t="shared" si="15"/>
        <v>T0.1ProtectionTR_1001_LLL_1_3G</v>
      </c>
      <c r="F249" s="23" t="str">
        <f>D246&amp;$A$227</f>
        <v>T0.1Protection</v>
      </c>
      <c r="G249" s="46" t="s">
        <v>929</v>
      </c>
      <c r="H249" s="22"/>
      <c r="I249" s="22"/>
      <c r="J249" s="47"/>
      <c r="K249" s="47"/>
      <c r="L249" s="48"/>
      <c r="M249" s="48"/>
      <c r="N249" s="37"/>
      <c r="O249" s="22"/>
      <c r="P249" s="47"/>
      <c r="Q249" s="22"/>
      <c r="R249" s="22"/>
    </row>
    <row r="250" spans="1:18">
      <c r="A250" s="25"/>
      <c r="B250" s="24"/>
      <c r="C250" s="25"/>
      <c r="D250" s="22"/>
      <c r="E250" s="23" t="str">
        <f t="shared" si="15"/>
        <v>T0.1ProtectionTR_1001_LP_6_12G</v>
      </c>
      <c r="F250" s="23" t="str">
        <f>D246&amp;$A$227</f>
        <v>T0.1Protection</v>
      </c>
      <c r="G250" s="46" t="s">
        <v>930</v>
      </c>
      <c r="H250" s="22"/>
      <c r="I250" s="22"/>
      <c r="J250" s="47"/>
      <c r="K250" s="47"/>
      <c r="L250" s="48"/>
      <c r="M250" s="48"/>
      <c r="N250" s="37"/>
      <c r="O250" s="22"/>
      <c r="P250" s="47"/>
      <c r="Q250" s="22"/>
      <c r="R250" s="22"/>
    </row>
    <row r="251" spans="1:18">
      <c r="A251" s="25"/>
      <c r="B251" s="24"/>
      <c r="C251" s="25"/>
      <c r="D251" s="22"/>
      <c r="E251" s="23" t="str">
        <f t="shared" si="15"/>
        <v>T0.1ProtectionTR_1001_M 12_20G</v>
      </c>
      <c r="F251" s="23" t="str">
        <f>D246&amp;$A$227</f>
        <v>T0.1Protection</v>
      </c>
      <c r="G251" s="46" t="s">
        <v>560</v>
      </c>
      <c r="H251" s="22"/>
      <c r="I251" s="22"/>
      <c r="J251" s="47"/>
      <c r="K251" s="47"/>
      <c r="L251" s="48"/>
      <c r="M251" s="48"/>
      <c r="N251" s="37"/>
      <c r="O251" s="22"/>
      <c r="P251" s="47"/>
      <c r="Q251" s="22"/>
      <c r="R251" s="22"/>
    </row>
    <row r="252" spans="1:18">
      <c r="A252" s="25"/>
      <c r="B252" s="24"/>
      <c r="C252" s="25"/>
      <c r="D252" s="22"/>
      <c r="E252" s="23" t="str">
        <f t="shared" si="15"/>
        <v>T0.1ProtectionTR_1001_MP</v>
      </c>
      <c r="F252" s="23" t="str">
        <f>D246&amp;$A$227</f>
        <v>T0.1Protection</v>
      </c>
      <c r="G252" s="46" t="s">
        <v>561</v>
      </c>
      <c r="H252" s="22"/>
      <c r="I252" s="22"/>
      <c r="J252" s="47"/>
      <c r="K252" s="47"/>
      <c r="L252" s="48"/>
      <c r="M252" s="48"/>
      <c r="N252" s="37"/>
      <c r="O252" s="22"/>
      <c r="P252" s="47"/>
      <c r="Q252" s="22"/>
      <c r="R252" s="22"/>
    </row>
    <row r="253" spans="1:18">
      <c r="A253" s="25"/>
      <c r="B253" s="24"/>
      <c r="C253" s="25"/>
      <c r="D253" s="22"/>
      <c r="E253" s="23" t="str">
        <f t="shared" si="15"/>
        <v>T0.1ProtectionOther_Fill_ME_Remark</v>
      </c>
      <c r="F253" s="23" t="str">
        <f>D246&amp;$A$227</f>
        <v>T0.1Protection</v>
      </c>
      <c r="G253" s="35" t="s">
        <v>931</v>
      </c>
      <c r="H253" s="22"/>
      <c r="I253" s="22"/>
      <c r="J253" s="47"/>
      <c r="K253" s="22"/>
      <c r="L253" s="48"/>
      <c r="M253" s="48"/>
      <c r="N253" s="37"/>
      <c r="O253" s="22"/>
      <c r="P253" s="22"/>
      <c r="Q253" s="22"/>
      <c r="R253" s="22"/>
    </row>
    <row r="254" spans="1:18">
      <c r="A254" s="25"/>
      <c r="B254" s="24"/>
      <c r="C254" s="25"/>
      <c r="D254" s="22"/>
      <c r="E254" s="23" t="str">
        <f t="shared" ref="E254" si="16">G254&amp;F254</f>
        <v/>
      </c>
      <c r="F254" s="23"/>
      <c r="G254" s="35"/>
      <c r="H254" s="22"/>
      <c r="I254" s="22"/>
      <c r="J254" s="22"/>
      <c r="K254" s="22"/>
      <c r="L254" s="22"/>
      <c r="M254" s="22"/>
      <c r="N254" s="37"/>
      <c r="O254" s="22"/>
      <c r="P254" s="22"/>
      <c r="Q254" s="22"/>
      <c r="R254" s="22"/>
    </row>
    <row r="255" spans="1:18">
      <c r="C255" s="25"/>
      <c r="H255" s="22"/>
      <c r="I255" s="22"/>
      <c r="J255" s="22"/>
      <c r="K255" s="22"/>
      <c r="L255" s="22"/>
      <c r="M255" s="22"/>
      <c r="N255" s="37"/>
      <c r="O255" s="22"/>
      <c r="P255" s="22"/>
      <c r="Q255" s="22"/>
      <c r="R255" s="22"/>
    </row>
    <row r="256" spans="1:18">
      <c r="A256" s="24"/>
      <c r="B256" s="24"/>
      <c r="C256" s="25"/>
      <c r="D256" s="26"/>
      <c r="E256" s="27"/>
      <c r="F256" s="24"/>
      <c r="G256" s="41"/>
      <c r="H256" s="22"/>
      <c r="I256" s="22"/>
      <c r="J256" s="22"/>
      <c r="K256" s="155"/>
      <c r="L256" s="22"/>
      <c r="M256" s="155"/>
      <c r="N256" s="37"/>
      <c r="O256" s="155"/>
      <c r="P256" s="155"/>
      <c r="Q256" s="155"/>
      <c r="R256" s="22"/>
    </row>
    <row r="257" spans="1:18">
      <c r="A257" s="29" t="s">
        <v>932</v>
      </c>
      <c r="B257" s="30" t="s">
        <v>933</v>
      </c>
      <c r="C257" s="25"/>
      <c r="D257" s="29" t="s">
        <v>934</v>
      </c>
      <c r="E257" s="29" t="s">
        <v>935</v>
      </c>
      <c r="F257" s="30" t="s">
        <v>933</v>
      </c>
      <c r="G257" s="31" t="s">
        <v>932</v>
      </c>
      <c r="H257" s="22"/>
      <c r="I257" s="22"/>
      <c r="J257" s="33"/>
      <c r="K257" s="33"/>
      <c r="L257" s="33"/>
      <c r="M257" s="33"/>
      <c r="N257" s="37"/>
      <c r="O257" s="33"/>
      <c r="P257" s="33"/>
      <c r="Q257" s="33"/>
      <c r="R257" s="33"/>
    </row>
    <row r="258" spans="1:18">
      <c r="A258" s="22">
        <v>1</v>
      </c>
      <c r="B258" s="23" t="str">
        <f>D258&amp;$A$257</f>
        <v>T0.05Adhesive</v>
      </c>
      <c r="C258" s="25"/>
      <c r="D258" s="22" t="s">
        <v>936</v>
      </c>
      <c r="E258" s="23" t="str">
        <f t="shared" ref="E258:E321" si="17">F258&amp;G258</f>
        <v>T0.05AdhesiveDST_5</v>
      </c>
      <c r="F258" s="23" t="str">
        <f>D258&amp;$A$257</f>
        <v>T0.05Adhesive</v>
      </c>
      <c r="G258" s="43" t="s">
        <v>937</v>
      </c>
      <c r="H258" s="22"/>
      <c r="I258" s="22"/>
      <c r="J258" s="44"/>
      <c r="K258" s="44"/>
      <c r="L258" s="44"/>
      <c r="M258" s="44"/>
      <c r="N258" s="37"/>
      <c r="O258" s="44"/>
      <c r="P258" s="44"/>
      <c r="Q258" s="44"/>
      <c r="R258" s="45"/>
    </row>
    <row r="259" spans="1:18">
      <c r="A259" s="22">
        <v>2</v>
      </c>
      <c r="B259" s="23" t="str">
        <f>D282&amp;$A$257</f>
        <v>T0.07Adhesive</v>
      </c>
      <c r="C259" s="25"/>
      <c r="D259" s="22"/>
      <c r="E259" s="23" t="str">
        <f t="shared" si="17"/>
        <v>T0.05AdhesiveDS_5</v>
      </c>
      <c r="F259" s="23" t="str">
        <f>D258&amp;$A$257</f>
        <v>T0.05Adhesive</v>
      </c>
      <c r="G259" s="43" t="s">
        <v>938</v>
      </c>
      <c r="H259" s="22"/>
      <c r="I259" s="22"/>
      <c r="J259" s="44"/>
      <c r="K259" s="44"/>
      <c r="L259" s="44"/>
      <c r="M259" s="44"/>
      <c r="N259" s="37"/>
      <c r="O259" s="44"/>
      <c r="P259" s="44"/>
      <c r="Q259" s="44"/>
      <c r="R259" s="45"/>
    </row>
    <row r="260" spans="1:18">
      <c r="A260" s="152">
        <v>3</v>
      </c>
      <c r="B260" s="153" t="str">
        <f>D285&amp;$A$257</f>
        <v>T0.08Adhesive</v>
      </c>
      <c r="C260" s="25"/>
      <c r="D260" s="22"/>
      <c r="E260" s="23" t="str">
        <f t="shared" si="17"/>
        <v>T0.05Adhesive皇冠7972G</v>
      </c>
      <c r="F260" s="23" t="str">
        <f>D258&amp;$A$257</f>
        <v>T0.05Adhesive</v>
      </c>
      <c r="G260" s="46" t="s">
        <v>939</v>
      </c>
      <c r="H260" s="22"/>
      <c r="I260" s="22"/>
      <c r="J260" s="48"/>
      <c r="K260" s="48"/>
      <c r="L260" s="48"/>
      <c r="M260" s="48"/>
      <c r="N260" s="37"/>
      <c r="O260" s="48"/>
      <c r="P260" s="48"/>
      <c r="Q260" s="48"/>
      <c r="R260" s="22"/>
    </row>
    <row r="261" spans="1:18">
      <c r="A261" s="22">
        <v>4</v>
      </c>
      <c r="B261" s="23" t="str">
        <f>D287&amp;$A$257</f>
        <v>T0.1Adhesive</v>
      </c>
      <c r="C261" s="25"/>
      <c r="D261" s="22"/>
      <c r="E261" s="23" t="str">
        <f t="shared" si="17"/>
        <v>T0.05AdhesivePW_05</v>
      </c>
      <c r="F261" s="23" t="str">
        <f>D258&amp;$A$257</f>
        <v>T0.05Adhesive</v>
      </c>
      <c r="G261" s="35" t="s">
        <v>940</v>
      </c>
      <c r="H261" s="22"/>
      <c r="I261" s="22"/>
      <c r="J261" s="22"/>
      <c r="K261" s="22"/>
      <c r="L261" s="22"/>
      <c r="M261" s="22"/>
      <c r="N261" s="37"/>
      <c r="O261" s="22"/>
      <c r="P261" s="22"/>
      <c r="Q261" s="22"/>
      <c r="R261" s="22"/>
    </row>
    <row r="262" spans="1:18">
      <c r="A262" s="22">
        <v>5</v>
      </c>
      <c r="B262" s="23" t="str">
        <f>D296&amp;$A$257</f>
        <v>T0.13Adhesive</v>
      </c>
      <c r="C262" s="25"/>
      <c r="D262" s="22"/>
      <c r="E262" s="23" t="str">
        <f t="shared" si="17"/>
        <v>T0.05AdhesiveJA305</v>
      </c>
      <c r="F262" s="23" t="str">
        <f>D258&amp;$A$257</f>
        <v>T0.05Adhesive</v>
      </c>
      <c r="G262" s="46" t="s">
        <v>941</v>
      </c>
      <c r="H262" s="22"/>
      <c r="I262" s="22"/>
      <c r="J262" s="48"/>
      <c r="K262" s="48"/>
      <c r="L262" s="48"/>
      <c r="M262" s="48"/>
      <c r="N262" s="37"/>
      <c r="O262" s="48"/>
      <c r="P262" s="48"/>
      <c r="Q262" s="48"/>
      <c r="R262" s="22"/>
    </row>
    <row r="263" spans="1:18">
      <c r="A263" s="22">
        <v>6</v>
      </c>
      <c r="B263" s="23" t="str">
        <f>D300&amp;$A$257</f>
        <v>T0.15Adhesive</v>
      </c>
      <c r="C263" s="25"/>
      <c r="D263" s="22"/>
      <c r="E263" s="23" t="str">
        <f t="shared" si="17"/>
        <v>T0.05AdhesiveJP005B</v>
      </c>
      <c r="F263" s="23" t="str">
        <f>D258&amp;$A$257</f>
        <v>T0.05Adhesive</v>
      </c>
      <c r="G263" s="46" t="s">
        <v>942</v>
      </c>
      <c r="H263" s="22"/>
      <c r="I263" s="22"/>
      <c r="J263" s="48"/>
      <c r="K263" s="48"/>
      <c r="L263" s="48"/>
      <c r="M263" s="48"/>
      <c r="N263" s="37"/>
      <c r="O263" s="48"/>
      <c r="P263" s="48"/>
      <c r="Q263" s="48"/>
      <c r="R263" s="22"/>
    </row>
    <row r="264" spans="1:18">
      <c r="A264" s="22">
        <v>7</v>
      </c>
      <c r="B264" s="23" t="str">
        <f>D317&amp;$A$257</f>
        <v>T0.2Adhesive</v>
      </c>
      <c r="C264" s="25"/>
      <c r="D264" s="22"/>
      <c r="E264" s="23" t="str">
        <f t="shared" si="17"/>
        <v>T0.05AdhesiveNITTO_GA835_上海產</v>
      </c>
      <c r="F264" s="23" t="str">
        <f>D258&amp;$A$257</f>
        <v>T0.05Adhesive</v>
      </c>
      <c r="G264" s="46" t="s">
        <v>943</v>
      </c>
      <c r="H264" s="22"/>
      <c r="I264" s="22"/>
      <c r="J264" s="48"/>
      <c r="K264" s="48"/>
      <c r="L264" s="48"/>
      <c r="M264" s="48"/>
      <c r="N264" s="37"/>
      <c r="O264" s="48"/>
      <c r="P264" s="48"/>
      <c r="Q264" s="48"/>
      <c r="R264" s="22"/>
    </row>
    <row r="265" spans="1:18">
      <c r="A265" s="22">
        <v>8</v>
      </c>
      <c r="B265" s="23" t="str">
        <f>D325&amp;$A$257</f>
        <v>T0.25Adhesive</v>
      </c>
      <c r="C265" s="25"/>
      <c r="D265" s="22"/>
      <c r="E265" s="23" t="str">
        <f t="shared" si="17"/>
        <v>T0.05AdhesiveNITTO_GA835_日本產</v>
      </c>
      <c r="F265" s="23" t="str">
        <f>D258&amp;$A$257</f>
        <v>T0.05Adhesive</v>
      </c>
      <c r="G265" s="46" t="s">
        <v>944</v>
      </c>
      <c r="H265" s="22"/>
      <c r="I265" s="22"/>
      <c r="J265" s="48"/>
      <c r="K265" s="48"/>
      <c r="L265" s="48"/>
      <c r="M265" s="48"/>
      <c r="N265" s="37"/>
      <c r="O265" s="48"/>
      <c r="P265" s="48"/>
      <c r="Q265" s="48"/>
      <c r="R265" s="22"/>
    </row>
    <row r="266" spans="1:18">
      <c r="A266" s="22">
        <v>9</v>
      </c>
      <c r="B266" s="23" t="str">
        <f>D333&amp;$A$257</f>
        <v>T0.3Adhesive</v>
      </c>
      <c r="C266" s="25"/>
      <c r="D266" s="22"/>
      <c r="E266" s="23" t="str">
        <f t="shared" si="17"/>
        <v>T0.05Adhesive3M_467MP</v>
      </c>
      <c r="F266" s="23" t="str">
        <f>D258&amp;$A$257</f>
        <v>T0.05Adhesive</v>
      </c>
      <c r="G266" s="43" t="s">
        <v>563</v>
      </c>
      <c r="H266" s="22"/>
      <c r="I266" s="22"/>
      <c r="J266" s="44"/>
      <c r="K266" s="44"/>
      <c r="L266" s="44"/>
      <c r="M266" s="44"/>
      <c r="N266" s="37"/>
      <c r="O266" s="44"/>
      <c r="P266" s="44"/>
      <c r="Q266" s="44"/>
      <c r="R266" s="45"/>
    </row>
    <row r="267" spans="1:18">
      <c r="A267" s="22">
        <v>10</v>
      </c>
      <c r="B267" s="23" t="str">
        <f>D339&amp;$A$257</f>
        <v>T0.4Adhesive</v>
      </c>
      <c r="C267" s="25"/>
      <c r="D267" s="22"/>
      <c r="E267" s="23" t="str">
        <f t="shared" si="17"/>
        <v>T0.05Adhesive3M_55256</v>
      </c>
      <c r="F267" s="23" t="str">
        <f>D258&amp;$A$257</f>
        <v>T0.05Adhesive</v>
      </c>
      <c r="G267" s="46" t="s">
        <v>945</v>
      </c>
      <c r="H267" s="22"/>
      <c r="I267" s="22"/>
      <c r="J267" s="48"/>
      <c r="K267" s="48"/>
      <c r="L267" s="48"/>
      <c r="M267" s="48"/>
      <c r="N267" s="37"/>
      <c r="O267" s="48"/>
      <c r="P267" s="48"/>
      <c r="Q267" s="48"/>
      <c r="R267" s="45"/>
    </row>
    <row r="268" spans="1:18">
      <c r="A268" s="22">
        <v>11</v>
      </c>
      <c r="B268" s="23" t="str">
        <f>D348&amp;$A$257</f>
        <v>T0.64Adhesive</v>
      </c>
      <c r="C268" s="25"/>
      <c r="D268" s="22"/>
      <c r="E268" s="23" t="str">
        <f t="shared" si="17"/>
        <v>T0.05AdhesiveTESA_68842</v>
      </c>
      <c r="F268" s="23" t="str">
        <f>D258&amp;$A$257</f>
        <v>T0.05Adhesive</v>
      </c>
      <c r="G268" s="46" t="s">
        <v>946</v>
      </c>
      <c r="H268" s="22"/>
      <c r="I268" s="22"/>
      <c r="J268" s="48"/>
      <c r="K268" s="48"/>
      <c r="L268" s="48"/>
      <c r="M268" s="48"/>
      <c r="N268" s="37"/>
      <c r="O268" s="48"/>
      <c r="P268" s="48"/>
      <c r="Q268" s="48"/>
      <c r="R268" s="22"/>
    </row>
    <row r="269" spans="1:18">
      <c r="A269" s="22">
        <v>12</v>
      </c>
      <c r="B269" s="23" t="s">
        <v>852</v>
      </c>
      <c r="D269" s="22"/>
      <c r="E269" s="23" t="str">
        <f t="shared" si="17"/>
        <v>T0.05AdhesiveTESA_68742</v>
      </c>
      <c r="F269" s="23" t="str">
        <f>D258&amp;$A$257</f>
        <v>T0.05Adhesive</v>
      </c>
      <c r="G269" s="46" t="s">
        <v>947</v>
      </c>
      <c r="H269" s="22"/>
      <c r="I269" s="22"/>
      <c r="J269" s="48"/>
      <c r="K269" s="48"/>
      <c r="L269" s="48"/>
      <c r="M269" s="48"/>
      <c r="N269" s="37"/>
      <c r="O269" s="48"/>
      <c r="P269" s="48"/>
      <c r="Q269" s="48"/>
      <c r="R269" s="22"/>
    </row>
    <row r="270" spans="1:18">
      <c r="A270" s="26"/>
      <c r="B270" s="24"/>
      <c r="D270" s="22"/>
      <c r="E270" s="23" t="str">
        <f t="shared" si="17"/>
        <v>T0.05AdhesiveSONY_NP203</v>
      </c>
      <c r="F270" s="23" t="str">
        <f>D258&amp;$A$257</f>
        <v>T0.05Adhesive</v>
      </c>
      <c r="G270" s="46" t="s">
        <v>948</v>
      </c>
      <c r="H270" s="22"/>
      <c r="I270" s="22"/>
      <c r="J270" s="48"/>
      <c r="K270" s="48"/>
      <c r="L270" s="48"/>
      <c r="M270" s="48"/>
      <c r="N270" s="37"/>
      <c r="O270" s="48"/>
      <c r="P270" s="48"/>
      <c r="Q270" s="48"/>
      <c r="R270" s="22"/>
    </row>
    <row r="271" spans="1:18">
      <c r="A271" s="26"/>
      <c r="B271" s="24"/>
      <c r="D271" s="22"/>
      <c r="E271" s="23" t="str">
        <f t="shared" si="17"/>
        <v>T0.05AdhesiveTESA_4972</v>
      </c>
      <c r="F271" s="23" t="str">
        <f>D258&amp;$A$257</f>
        <v>T0.05Adhesive</v>
      </c>
      <c r="G271" s="46" t="s">
        <v>949</v>
      </c>
      <c r="H271" s="22"/>
      <c r="I271" s="22"/>
      <c r="J271" s="48"/>
      <c r="K271" s="48"/>
      <c r="L271" s="48"/>
      <c r="M271" s="48"/>
      <c r="N271" s="37"/>
      <c r="O271" s="48"/>
      <c r="P271" s="48"/>
      <c r="Q271" s="48"/>
      <c r="R271" s="45"/>
    </row>
    <row r="272" spans="1:18">
      <c r="A272" s="26"/>
      <c r="B272" s="24"/>
      <c r="D272" s="22"/>
      <c r="E272" s="23" t="str">
        <f t="shared" si="17"/>
        <v>T0.05AdhesiveTESA_51972</v>
      </c>
      <c r="F272" s="23" t="str">
        <f>D258&amp;$A$257</f>
        <v>T0.05Adhesive</v>
      </c>
      <c r="G272" s="46" t="s">
        <v>564</v>
      </c>
      <c r="H272" s="22"/>
      <c r="I272" s="22"/>
      <c r="J272" s="48"/>
      <c r="K272" s="48"/>
      <c r="L272" s="48"/>
      <c r="M272" s="48"/>
      <c r="N272" s="37"/>
      <c r="O272" s="48"/>
      <c r="P272" s="48"/>
      <c r="Q272" s="48"/>
      <c r="R272" s="22"/>
    </row>
    <row r="273" spans="1:18">
      <c r="A273" s="26"/>
      <c r="B273" s="24"/>
      <c r="D273" s="22"/>
      <c r="E273" s="23" t="str">
        <f t="shared" si="17"/>
        <v>T0.05AdhesiveNITTO_56605B</v>
      </c>
      <c r="F273" s="23" t="str">
        <f>D258&amp;$A$257</f>
        <v>T0.05Adhesive</v>
      </c>
      <c r="G273" s="46" t="s">
        <v>565</v>
      </c>
      <c r="H273" s="22"/>
      <c r="I273" s="22"/>
      <c r="J273" s="48"/>
      <c r="K273" s="48"/>
      <c r="L273" s="48"/>
      <c r="M273" s="48"/>
      <c r="N273" s="37"/>
      <c r="O273" s="48"/>
      <c r="P273" s="48"/>
      <c r="Q273" s="48"/>
      <c r="R273" s="22"/>
    </row>
    <row r="274" spans="1:18">
      <c r="A274" s="26"/>
      <c r="B274" s="24"/>
      <c r="D274" s="22"/>
      <c r="E274" s="23" t="str">
        <f t="shared" si="17"/>
        <v>T0.05Adhesive3M_9460PC</v>
      </c>
      <c r="F274" s="23" t="str">
        <f>D258&amp;$A$257</f>
        <v>T0.05Adhesive</v>
      </c>
      <c r="G274" s="46" t="s">
        <v>950</v>
      </c>
      <c r="H274" s="22"/>
      <c r="I274" s="22"/>
      <c r="J274" s="48"/>
      <c r="K274" s="48"/>
      <c r="L274" s="48"/>
      <c r="M274" s="48"/>
      <c r="N274" s="37"/>
      <c r="O274" s="48"/>
      <c r="P274" s="48"/>
      <c r="Q274" s="48"/>
      <c r="R274" s="22"/>
    </row>
    <row r="275" spans="1:18">
      <c r="A275" s="25"/>
      <c r="B275" s="24"/>
      <c r="D275" s="22"/>
      <c r="E275" s="23" t="str">
        <f t="shared" si="17"/>
        <v>T0.05Adhesive3M_9671LE</v>
      </c>
      <c r="F275" s="23" t="str">
        <f>D258&amp;$A$257</f>
        <v>T0.05Adhesive</v>
      </c>
      <c r="G275" s="46" t="s">
        <v>951</v>
      </c>
      <c r="H275" s="22"/>
      <c r="I275" s="22"/>
      <c r="J275" s="48"/>
      <c r="K275" s="48"/>
      <c r="L275" s="48"/>
      <c r="M275" s="48"/>
      <c r="N275" s="37"/>
      <c r="O275" s="48"/>
      <c r="P275" s="48"/>
      <c r="Q275" s="48"/>
      <c r="R275" s="22"/>
    </row>
    <row r="276" spans="1:18">
      <c r="A276" s="25"/>
      <c r="B276" s="24"/>
      <c r="D276" s="22"/>
      <c r="E276" s="23" t="str">
        <f t="shared" si="17"/>
        <v>T0.05Adhesive3M_8228B</v>
      </c>
      <c r="F276" s="23" t="str">
        <f>D258&amp;$A$257</f>
        <v>T0.05Adhesive</v>
      </c>
      <c r="G276" s="46" t="s">
        <v>566</v>
      </c>
      <c r="H276" s="22"/>
      <c r="I276" s="22"/>
      <c r="J276" s="48"/>
      <c r="K276" s="48"/>
      <c r="L276" s="48"/>
      <c r="M276" s="48"/>
      <c r="N276" s="37"/>
      <c r="O276" s="48"/>
      <c r="P276" s="48"/>
      <c r="Q276" s="48"/>
      <c r="R276" s="45"/>
    </row>
    <row r="277" spans="1:18">
      <c r="A277" s="25"/>
      <c r="B277" s="24"/>
      <c r="D277" s="22"/>
      <c r="E277" s="23" t="str">
        <f t="shared" si="17"/>
        <v>T0.05Adhesive3M_9626</v>
      </c>
      <c r="F277" s="23" t="str">
        <f>D258&amp;$A$257</f>
        <v>T0.05Adhesive</v>
      </c>
      <c r="G277" s="46" t="s">
        <v>952</v>
      </c>
      <c r="H277" s="22"/>
      <c r="I277" s="22"/>
      <c r="J277" s="48"/>
      <c r="K277" s="48"/>
      <c r="L277" s="48"/>
      <c r="M277" s="48"/>
      <c r="N277" s="37"/>
      <c r="O277" s="48"/>
      <c r="P277" s="48"/>
      <c r="Q277" s="48"/>
      <c r="R277" s="22"/>
    </row>
    <row r="278" spans="1:18">
      <c r="A278" s="25"/>
      <c r="B278" s="24"/>
      <c r="D278" s="22"/>
      <c r="E278" s="23" t="str">
        <f t="shared" si="17"/>
        <v>T0.05AdhesiveTT219導電背膠</v>
      </c>
      <c r="F278" s="23" t="str">
        <f>D258&amp;$A$257</f>
        <v>T0.05Adhesive</v>
      </c>
      <c r="G278" s="46" t="s">
        <v>586</v>
      </c>
      <c r="H278" s="22"/>
      <c r="I278" s="22"/>
      <c r="J278" s="48"/>
      <c r="K278" s="48"/>
      <c r="L278" s="48"/>
      <c r="M278" s="48"/>
      <c r="N278" s="37"/>
      <c r="O278" s="48"/>
      <c r="P278" s="48"/>
      <c r="Q278" s="48"/>
      <c r="R278" s="22"/>
    </row>
    <row r="279" spans="1:18">
      <c r="A279" s="25"/>
      <c r="B279" s="24"/>
      <c r="D279" s="22"/>
      <c r="E279" s="23" t="str">
        <f t="shared" si="17"/>
        <v>T0.05AdhesiveJC205導電背膠</v>
      </c>
      <c r="F279" s="23" t="str">
        <f>D258&amp;$A$257</f>
        <v>T0.05Adhesive</v>
      </c>
      <c r="G279" s="43" t="s">
        <v>953</v>
      </c>
      <c r="H279" s="22"/>
      <c r="I279" s="22"/>
      <c r="J279" s="44"/>
      <c r="K279" s="44"/>
      <c r="L279" s="44"/>
      <c r="M279" s="44"/>
      <c r="N279" s="37"/>
      <c r="O279" s="44"/>
      <c r="P279" s="44"/>
      <c r="Q279" s="44"/>
      <c r="R279" s="22"/>
    </row>
    <row r="280" spans="1:18">
      <c r="A280" s="25"/>
      <c r="B280" s="24"/>
      <c r="D280" s="22"/>
      <c r="E280" s="23" t="str">
        <f t="shared" si="17"/>
        <v>T0.05AdhesiveOther_Fill_ME_Remark</v>
      </c>
      <c r="F280" s="23" t="str">
        <f>D258&amp;$A$257</f>
        <v>T0.05Adhesive</v>
      </c>
      <c r="G280" s="35" t="s">
        <v>527</v>
      </c>
      <c r="H280" s="22"/>
      <c r="I280" s="22"/>
      <c r="J280" s="48"/>
      <c r="K280" s="48"/>
      <c r="L280" s="48"/>
      <c r="M280" s="48"/>
      <c r="N280" s="37"/>
      <c r="O280" s="48"/>
      <c r="P280" s="48"/>
      <c r="Q280" s="48"/>
      <c r="R280" s="22"/>
    </row>
    <row r="281" spans="1:18">
      <c r="A281" s="25"/>
      <c r="B281" s="24"/>
      <c r="D281" s="22"/>
      <c r="E281" s="23" t="str">
        <f t="shared" si="17"/>
        <v/>
      </c>
      <c r="F281" s="23"/>
      <c r="G281" s="46"/>
      <c r="H281" s="22"/>
      <c r="I281" s="22"/>
      <c r="J281" s="48"/>
      <c r="K281" s="48"/>
      <c r="L281" s="48"/>
      <c r="M281" s="48"/>
      <c r="N281" s="37"/>
      <c r="O281" s="48"/>
      <c r="P281" s="48"/>
      <c r="Q281" s="48"/>
      <c r="R281" s="22"/>
    </row>
    <row r="282" spans="1:18">
      <c r="A282" s="25"/>
      <c r="B282" s="24"/>
      <c r="D282" s="22" t="s">
        <v>954</v>
      </c>
      <c r="E282" s="23" t="str">
        <f t="shared" si="17"/>
        <v>T0.07AdhesiveDSTT_7N</v>
      </c>
      <c r="F282" s="23" t="str">
        <f>D282&amp;$A$257</f>
        <v>T0.07Adhesive</v>
      </c>
      <c r="G282" s="46" t="s">
        <v>500</v>
      </c>
      <c r="H282" s="22"/>
      <c r="I282" s="22"/>
      <c r="J282" s="48"/>
      <c r="K282" s="48"/>
      <c r="L282" s="48"/>
      <c r="M282" s="48"/>
      <c r="N282" s="37"/>
      <c r="O282" s="48"/>
      <c r="P282" s="48"/>
      <c r="Q282" s="48"/>
      <c r="R282" s="22"/>
    </row>
    <row r="283" spans="1:18">
      <c r="A283" s="25"/>
      <c r="B283" s="24"/>
      <c r="D283" s="22"/>
      <c r="E283" s="23" t="str">
        <f t="shared" si="17"/>
        <v>T0.07AdhesiveOther_Fill_ME_Remark</v>
      </c>
      <c r="F283" s="23" t="str">
        <f>D282&amp;$A$257</f>
        <v>T0.07Adhesive</v>
      </c>
      <c r="G283" s="35" t="s">
        <v>527</v>
      </c>
      <c r="H283" s="22"/>
      <c r="I283" s="22"/>
      <c r="J283" s="48"/>
      <c r="K283" s="48"/>
      <c r="L283" s="48"/>
      <c r="M283" s="48"/>
      <c r="N283" s="37"/>
      <c r="O283" s="48"/>
      <c r="P283" s="48"/>
      <c r="Q283" s="48"/>
      <c r="R283" s="22"/>
    </row>
    <row r="284" spans="1:18">
      <c r="A284" s="25"/>
      <c r="B284" s="24"/>
      <c r="D284" s="22"/>
      <c r="E284" s="23" t="str">
        <f t="shared" si="17"/>
        <v/>
      </c>
      <c r="F284" s="23"/>
      <c r="G284" s="35"/>
      <c r="H284" s="22"/>
      <c r="I284" s="22"/>
      <c r="J284" s="22"/>
      <c r="K284" s="22"/>
      <c r="L284" s="22"/>
      <c r="M284" s="22"/>
      <c r="N284" s="37"/>
      <c r="O284" s="22"/>
      <c r="P284" s="22"/>
      <c r="Q284" s="22"/>
      <c r="R284" s="22"/>
    </row>
    <row r="285" spans="1:18">
      <c r="A285" s="25"/>
      <c r="B285" s="24"/>
      <c r="D285" s="152" t="s">
        <v>955</v>
      </c>
      <c r="E285" s="153" t="str">
        <f t="shared" si="17"/>
        <v>T0.08Adhesive3M244</v>
      </c>
      <c r="F285" s="153" t="str">
        <f>D285&amp;$A$257</f>
        <v>T0.08Adhesive</v>
      </c>
      <c r="G285" s="154" t="s">
        <v>956</v>
      </c>
      <c r="H285" s="22"/>
      <c r="I285" s="22"/>
      <c r="J285" s="22"/>
      <c r="K285" s="22"/>
      <c r="L285" s="22"/>
      <c r="M285" s="22"/>
      <c r="N285" s="37"/>
      <c r="O285" s="22"/>
      <c r="P285" s="22"/>
      <c r="Q285" s="22"/>
      <c r="R285" s="22"/>
    </row>
    <row r="286" spans="1:18">
      <c r="A286" s="25"/>
      <c r="B286" s="24"/>
      <c r="D286" s="22"/>
      <c r="E286" s="23" t="str">
        <f t="shared" si="17"/>
        <v/>
      </c>
      <c r="F286" s="23"/>
      <c r="G286" s="46"/>
      <c r="H286" s="22"/>
      <c r="I286" s="22"/>
      <c r="J286" s="22"/>
      <c r="K286" s="22"/>
      <c r="L286" s="22"/>
      <c r="M286" s="22"/>
      <c r="N286" s="37"/>
      <c r="O286" s="22"/>
      <c r="P286" s="22"/>
      <c r="Q286" s="22"/>
      <c r="R286" s="22"/>
    </row>
    <row r="287" spans="1:18">
      <c r="A287" s="25"/>
      <c r="B287" s="24"/>
      <c r="D287" s="22" t="s">
        <v>528</v>
      </c>
      <c r="E287" s="23" t="str">
        <f t="shared" si="17"/>
        <v>T0.1AdhesiveDS_10B</v>
      </c>
      <c r="F287" s="23" t="str">
        <f>D287&amp;$A$257</f>
        <v>T0.1Adhesive</v>
      </c>
      <c r="G287" s="46" t="s">
        <v>567</v>
      </c>
      <c r="H287" s="22"/>
      <c r="I287" s="22"/>
      <c r="J287" s="22"/>
      <c r="K287" s="22"/>
      <c r="L287" s="22"/>
      <c r="M287" s="22"/>
      <c r="N287" s="37"/>
      <c r="O287" s="22"/>
      <c r="P287" s="22"/>
      <c r="Q287" s="22"/>
      <c r="R287" s="22"/>
    </row>
    <row r="288" spans="1:18">
      <c r="A288" s="25"/>
      <c r="B288" s="24"/>
      <c r="D288" s="22"/>
      <c r="E288" s="23" t="str">
        <f t="shared" si="17"/>
        <v>T0.1AdhesiveDST_10</v>
      </c>
      <c r="F288" s="23" t="str">
        <f>D287&amp;$A$257</f>
        <v>T0.1Adhesive</v>
      </c>
      <c r="G288" s="46" t="s">
        <v>499</v>
      </c>
      <c r="H288" s="22"/>
      <c r="I288" s="22"/>
      <c r="J288" s="22"/>
      <c r="K288" s="22"/>
      <c r="L288" s="22"/>
      <c r="M288" s="22"/>
      <c r="N288" s="37"/>
      <c r="O288" s="22"/>
      <c r="P288" s="22"/>
      <c r="Q288" s="22"/>
      <c r="R288" s="22"/>
    </row>
    <row r="289" spans="1:18">
      <c r="A289" s="25"/>
      <c r="B289" s="24"/>
      <c r="D289" s="22"/>
      <c r="E289" s="23" t="str">
        <f t="shared" si="17"/>
        <v>T0.1AdhesivePW_10</v>
      </c>
      <c r="F289" s="23" t="str">
        <f>D287&amp;$A$257</f>
        <v>T0.1Adhesive</v>
      </c>
      <c r="G289" s="46" t="s">
        <v>568</v>
      </c>
      <c r="H289" s="22"/>
      <c r="I289" s="22"/>
      <c r="J289" s="22"/>
      <c r="K289" s="22"/>
      <c r="L289" s="22"/>
      <c r="M289" s="22"/>
      <c r="N289" s="37"/>
      <c r="O289" s="22"/>
      <c r="P289" s="22"/>
      <c r="Q289" s="22"/>
      <c r="R289" s="22"/>
    </row>
    <row r="290" spans="1:18">
      <c r="A290" s="25"/>
      <c r="B290" s="24"/>
      <c r="D290" s="22"/>
      <c r="E290" s="23" t="str">
        <f t="shared" si="17"/>
        <v>T0.1Adhesive3M_468MP</v>
      </c>
      <c r="F290" s="23" t="str">
        <f>D287&amp;$A$257</f>
        <v>T0.1Adhesive</v>
      </c>
      <c r="G290" s="46" t="s">
        <v>569</v>
      </c>
      <c r="H290" s="22"/>
      <c r="I290" s="22"/>
      <c r="J290" s="22"/>
      <c r="K290" s="22"/>
      <c r="L290" s="22"/>
      <c r="M290" s="22"/>
      <c r="N290" s="37"/>
      <c r="O290" s="22"/>
      <c r="P290" s="22"/>
      <c r="Q290" s="22"/>
      <c r="R290" s="45"/>
    </row>
    <row r="291" spans="1:18">
      <c r="D291" s="22"/>
      <c r="E291" s="23" t="str">
        <f t="shared" si="17"/>
        <v>T0.1AdhesiveTESA_4982</v>
      </c>
      <c r="F291" s="23" t="str">
        <f>D287&amp;$A$257</f>
        <v>T0.1Adhesive</v>
      </c>
      <c r="G291" s="46" t="s">
        <v>957</v>
      </c>
      <c r="H291" s="22"/>
      <c r="I291" s="22"/>
      <c r="J291" s="22"/>
      <c r="K291" s="22"/>
      <c r="L291" s="22"/>
      <c r="M291" s="22"/>
      <c r="N291" s="37"/>
      <c r="O291" s="22"/>
      <c r="P291" s="22"/>
      <c r="Q291" s="22"/>
      <c r="R291" s="45"/>
    </row>
    <row r="292" spans="1:18">
      <c r="D292" s="152"/>
      <c r="E292" s="153" t="str">
        <f t="shared" si="17"/>
        <v>T0.1AdhesiveTESA_60504</v>
      </c>
      <c r="F292" s="153" t="str">
        <f>D287&amp;$A$257</f>
        <v>T0.1Adhesive</v>
      </c>
      <c r="G292" s="157" t="s">
        <v>958</v>
      </c>
      <c r="H292" s="22"/>
      <c r="I292" s="22"/>
      <c r="J292" s="22"/>
      <c r="K292" s="22"/>
      <c r="L292" s="22"/>
      <c r="M292" s="22"/>
      <c r="N292" s="37"/>
      <c r="O292" s="22"/>
      <c r="P292" s="22"/>
      <c r="Q292" s="22"/>
      <c r="R292" s="45"/>
    </row>
    <row r="293" spans="1:18">
      <c r="D293" s="22"/>
      <c r="E293" s="23" t="str">
        <f t="shared" si="17"/>
        <v>T0.1AdhesiveTT219導電背膠</v>
      </c>
      <c r="F293" s="23" t="str">
        <f>D287&amp;$A$257</f>
        <v>T0.1Adhesive</v>
      </c>
      <c r="G293" s="46" t="s">
        <v>959</v>
      </c>
      <c r="H293" s="22"/>
      <c r="I293" s="22"/>
      <c r="J293" s="22"/>
      <c r="K293" s="22"/>
      <c r="L293" s="22"/>
      <c r="M293" s="22"/>
      <c r="N293" s="37"/>
      <c r="O293" s="22"/>
      <c r="P293" s="22"/>
      <c r="Q293" s="22"/>
      <c r="R293" s="45"/>
    </row>
    <row r="294" spans="1:18">
      <c r="D294" s="22"/>
      <c r="E294" s="23" t="str">
        <f t="shared" si="17"/>
        <v>T0.1AdhesiveOther_Fill_ME_Remark</v>
      </c>
      <c r="F294" s="23" t="str">
        <f>D287&amp;$A$257</f>
        <v>T0.1Adhesive</v>
      </c>
      <c r="G294" s="35" t="s">
        <v>911</v>
      </c>
      <c r="H294" s="22"/>
      <c r="I294" s="22"/>
      <c r="J294" s="22"/>
      <c r="K294" s="22"/>
      <c r="L294" s="22"/>
      <c r="M294" s="22"/>
      <c r="N294" s="37"/>
      <c r="O294" s="22"/>
      <c r="P294" s="22"/>
      <c r="Q294" s="22"/>
      <c r="R294" s="22"/>
    </row>
    <row r="295" spans="1:18">
      <c r="D295" s="22"/>
      <c r="E295" s="23" t="str">
        <f t="shared" si="17"/>
        <v/>
      </c>
      <c r="F295" s="23"/>
      <c r="G295" s="46"/>
      <c r="H295" s="22"/>
      <c r="I295" s="22"/>
      <c r="J295" s="48"/>
      <c r="K295" s="48"/>
      <c r="L295" s="48"/>
      <c r="M295" s="48"/>
      <c r="N295" s="37"/>
      <c r="O295" s="48"/>
      <c r="P295" s="48"/>
      <c r="Q295" s="48"/>
      <c r="R295" s="22"/>
    </row>
    <row r="296" spans="1:18">
      <c r="D296" s="22" t="s">
        <v>960</v>
      </c>
      <c r="E296" s="23" t="str">
        <f>F296&amp;G296</f>
        <v>T0.13AdhesiveDSTT_13N</v>
      </c>
      <c r="F296" s="23" t="str">
        <f>D296&amp;$A$257</f>
        <v>T0.13Adhesive</v>
      </c>
      <c r="G296" s="46" t="s">
        <v>606</v>
      </c>
      <c r="H296" s="22"/>
      <c r="I296" s="22"/>
      <c r="J296" s="48"/>
      <c r="K296" s="48"/>
      <c r="L296" s="48"/>
      <c r="M296" s="48"/>
      <c r="N296" s="37"/>
      <c r="O296" s="48"/>
      <c r="P296" s="48"/>
      <c r="Q296" s="48"/>
      <c r="R296" s="22"/>
    </row>
    <row r="297" spans="1:18">
      <c r="D297" s="22"/>
      <c r="E297" s="23" t="str">
        <f>F297&amp;G297</f>
        <v>T0.13Adhesive3M_468C</v>
      </c>
      <c r="F297" s="23" t="str">
        <f>D296&amp;$A$257</f>
        <v>T0.13Adhesive</v>
      </c>
      <c r="G297" s="46" t="s">
        <v>570</v>
      </c>
      <c r="H297" s="22"/>
      <c r="I297" s="22"/>
      <c r="J297" s="48"/>
      <c r="K297" s="48"/>
      <c r="L297" s="48"/>
      <c r="M297" s="48"/>
      <c r="N297" s="37"/>
      <c r="O297" s="48"/>
      <c r="P297" s="48"/>
      <c r="Q297" s="48"/>
      <c r="R297" s="22"/>
    </row>
    <row r="298" spans="1:18">
      <c r="D298" s="22"/>
      <c r="E298" s="23" t="str">
        <f>F298&amp;G298</f>
        <v>T0.13AdhesiveOther_Fill_ME_Remark</v>
      </c>
      <c r="F298" s="23" t="str">
        <f>D296&amp;$A$257</f>
        <v>T0.13Adhesive</v>
      </c>
      <c r="G298" s="35" t="s">
        <v>889</v>
      </c>
      <c r="H298" s="22"/>
      <c r="I298" s="22"/>
      <c r="J298" s="48"/>
      <c r="K298" s="48"/>
      <c r="L298" s="48"/>
      <c r="M298" s="48"/>
      <c r="N298" s="37"/>
      <c r="O298" s="48"/>
      <c r="P298" s="48"/>
      <c r="Q298" s="48"/>
      <c r="R298" s="22"/>
    </row>
    <row r="299" spans="1:18">
      <c r="D299" s="22"/>
      <c r="E299" s="23" t="str">
        <f t="shared" si="17"/>
        <v/>
      </c>
      <c r="F299" s="23"/>
      <c r="G299" s="46"/>
      <c r="H299" s="22"/>
      <c r="I299" s="22"/>
      <c r="J299" s="48"/>
      <c r="K299" s="48"/>
      <c r="L299" s="48"/>
      <c r="M299" s="48"/>
      <c r="N299" s="37"/>
      <c r="O299" s="48"/>
      <c r="P299" s="48"/>
      <c r="Q299" s="48"/>
      <c r="R299" s="22"/>
    </row>
    <row r="300" spans="1:18">
      <c r="D300" s="22" t="s">
        <v>961</v>
      </c>
      <c r="E300" s="23" t="str">
        <f t="shared" si="17"/>
        <v>T0.15AdhesiveDS_15</v>
      </c>
      <c r="F300" s="23" t="str">
        <f>D300&amp;$A$257</f>
        <v>T0.15Adhesive</v>
      </c>
      <c r="G300" s="46" t="s">
        <v>962</v>
      </c>
      <c r="H300" s="22"/>
      <c r="I300" s="22"/>
      <c r="J300" s="48"/>
      <c r="K300" s="48"/>
      <c r="L300" s="48"/>
      <c r="M300" s="48"/>
      <c r="N300" s="37"/>
      <c r="O300" s="48"/>
      <c r="P300" s="48"/>
      <c r="Q300" s="48"/>
      <c r="R300" s="22"/>
    </row>
    <row r="301" spans="1:18">
      <c r="D301" s="22"/>
      <c r="E301" s="23" t="str">
        <f t="shared" si="17"/>
        <v>T0.15AdhesiveDS_15B</v>
      </c>
      <c r="F301" s="23" t="str">
        <f>D300&amp;$A$257</f>
        <v>T0.15Adhesive</v>
      </c>
      <c r="G301" s="46" t="s">
        <v>963</v>
      </c>
      <c r="H301" s="22"/>
      <c r="I301" s="22"/>
      <c r="J301" s="48"/>
      <c r="K301" s="48"/>
      <c r="L301" s="48"/>
      <c r="M301" s="48"/>
      <c r="N301" s="37"/>
      <c r="O301" s="48"/>
      <c r="P301" s="48"/>
      <c r="Q301" s="48"/>
      <c r="R301" s="22"/>
    </row>
    <row r="302" spans="1:18">
      <c r="D302" s="22"/>
      <c r="E302" s="23" t="str">
        <f t="shared" si="17"/>
        <v>T0.15AdhesiveSONY_G4000</v>
      </c>
      <c r="F302" s="23" t="str">
        <f>D300&amp;$A$257</f>
        <v>T0.15Adhesive</v>
      </c>
      <c r="G302" s="46" t="s">
        <v>964</v>
      </c>
      <c r="H302" s="22"/>
      <c r="I302" s="22"/>
      <c r="J302" s="48"/>
      <c r="K302" s="48"/>
      <c r="L302" s="48"/>
      <c r="M302" s="48"/>
      <c r="N302" s="37"/>
      <c r="O302" s="48"/>
      <c r="P302" s="48"/>
      <c r="Q302" s="48"/>
      <c r="R302" s="45"/>
    </row>
    <row r="303" spans="1:18">
      <c r="D303" s="22"/>
      <c r="E303" s="23" t="str">
        <f t="shared" si="17"/>
        <v>T0.15Adhesive3M_9888T</v>
      </c>
      <c r="F303" s="23" t="str">
        <f>D300&amp;$A$257</f>
        <v>T0.15Adhesive</v>
      </c>
      <c r="G303" s="49" t="s">
        <v>965</v>
      </c>
      <c r="H303" s="22"/>
      <c r="I303" s="22"/>
      <c r="J303" s="48"/>
      <c r="K303" s="48"/>
      <c r="L303" s="48"/>
      <c r="M303" s="48"/>
      <c r="N303" s="37"/>
      <c r="O303" s="48"/>
      <c r="P303" s="48"/>
      <c r="Q303" s="48"/>
      <c r="R303" s="45"/>
    </row>
    <row r="304" spans="1:18">
      <c r="D304" s="22"/>
      <c r="E304" s="23" t="str">
        <f t="shared" si="17"/>
        <v>T0.15AdhesiveSONY_G9000</v>
      </c>
      <c r="F304" s="23" t="str">
        <f>D300&amp;$A$257</f>
        <v>T0.15Adhesive</v>
      </c>
      <c r="G304" s="46" t="s">
        <v>966</v>
      </c>
      <c r="H304" s="22"/>
      <c r="I304" s="22"/>
      <c r="J304" s="48"/>
      <c r="K304" s="48"/>
      <c r="L304" s="48"/>
      <c r="M304" s="48"/>
      <c r="N304" s="37"/>
      <c r="O304" s="48"/>
      <c r="P304" s="48"/>
      <c r="Q304" s="48"/>
      <c r="R304" s="45"/>
    </row>
    <row r="305" spans="4:18">
      <c r="D305" s="22"/>
      <c r="E305" s="23" t="str">
        <f t="shared" si="17"/>
        <v>T0.15Adhesive3M_9080HL</v>
      </c>
      <c r="F305" s="23" t="str">
        <f>D300&amp;$A$257</f>
        <v>T0.15Adhesive</v>
      </c>
      <c r="G305" s="50" t="s">
        <v>967</v>
      </c>
      <c r="H305" s="22"/>
      <c r="I305" s="22"/>
      <c r="J305" s="48"/>
      <c r="K305" s="48"/>
      <c r="L305" s="48"/>
      <c r="M305" s="48"/>
      <c r="N305" s="37"/>
      <c r="O305" s="48"/>
      <c r="P305" s="48"/>
      <c r="Q305" s="48"/>
      <c r="R305" s="22"/>
    </row>
    <row r="306" spans="4:18">
      <c r="D306" s="22"/>
      <c r="E306" s="23" t="str">
        <f t="shared" si="17"/>
        <v>T0.15AdhesiveNITTO_5000NS</v>
      </c>
      <c r="F306" s="23" t="str">
        <f>D300&amp;$A$257</f>
        <v>T0.15Adhesive</v>
      </c>
      <c r="G306" s="37" t="s">
        <v>968</v>
      </c>
      <c r="H306" s="22"/>
      <c r="I306" s="22"/>
      <c r="J306" s="48"/>
      <c r="K306" s="48"/>
      <c r="L306" s="48"/>
      <c r="M306" s="48"/>
      <c r="N306" s="37"/>
      <c r="O306" s="48"/>
      <c r="P306" s="48"/>
      <c r="Q306" s="48"/>
      <c r="R306" s="22"/>
    </row>
    <row r="307" spans="4:18">
      <c r="D307" s="22"/>
      <c r="E307" s="23" t="str">
        <f t="shared" si="17"/>
        <v>T0.15Adhesive3M_9448AB</v>
      </c>
      <c r="F307" s="23" t="str">
        <f>D300&amp;$A$257</f>
        <v>T0.15Adhesive</v>
      </c>
      <c r="G307" s="50" t="s">
        <v>571</v>
      </c>
      <c r="H307" s="22"/>
      <c r="I307" s="22"/>
      <c r="J307" s="48"/>
      <c r="K307" s="48"/>
      <c r="L307" s="48"/>
      <c r="M307" s="48"/>
      <c r="N307" s="37"/>
      <c r="O307" s="48"/>
      <c r="P307" s="48"/>
      <c r="Q307" s="48"/>
      <c r="R307" s="22"/>
    </row>
    <row r="308" spans="4:18">
      <c r="D308" s="22"/>
      <c r="E308" s="23" t="str">
        <f t="shared" si="17"/>
        <v>T0.15AdhesiveSONY_G9900</v>
      </c>
      <c r="F308" s="23" t="str">
        <f>D300&amp;$A$257</f>
        <v>T0.15Adhesive</v>
      </c>
      <c r="G308" s="37" t="s">
        <v>969</v>
      </c>
      <c r="H308" s="22"/>
      <c r="I308" s="22"/>
      <c r="J308" s="48"/>
      <c r="K308" s="48"/>
      <c r="L308" s="48"/>
      <c r="M308" s="48"/>
      <c r="N308" s="37"/>
      <c r="O308" s="48"/>
      <c r="P308" s="48"/>
      <c r="Q308" s="48"/>
      <c r="R308" s="22"/>
    </row>
    <row r="309" spans="4:18">
      <c r="D309" s="22"/>
      <c r="E309" s="23" t="str">
        <f t="shared" si="17"/>
        <v>T0.15AdhesiveG9500R</v>
      </c>
      <c r="F309" s="23" t="str">
        <f>D300&amp;$A$257</f>
        <v>T0.15Adhesive</v>
      </c>
      <c r="G309" s="50" t="s">
        <v>572</v>
      </c>
      <c r="H309" s="22"/>
      <c r="I309" s="22"/>
      <c r="J309" s="48"/>
      <c r="K309" s="48"/>
      <c r="L309" s="48"/>
      <c r="M309" s="48"/>
      <c r="N309" s="37"/>
      <c r="O309" s="48"/>
      <c r="P309" s="48"/>
      <c r="Q309" s="48"/>
      <c r="R309" s="22"/>
    </row>
    <row r="310" spans="4:18">
      <c r="D310" s="22"/>
      <c r="E310" s="23" t="str">
        <f t="shared" si="17"/>
        <v>T0.15AdhesiveNITTO_5000NSLV</v>
      </c>
      <c r="F310" s="23" t="str">
        <f>D300&amp;$A$257</f>
        <v>T0.15Adhesive</v>
      </c>
      <c r="G310" s="37" t="s">
        <v>573</v>
      </c>
      <c r="H310" s="22"/>
      <c r="I310" s="22"/>
      <c r="J310" s="48"/>
      <c r="K310" s="48"/>
      <c r="L310" s="48"/>
      <c r="M310" s="48"/>
      <c r="N310" s="37"/>
      <c r="O310" s="48"/>
      <c r="P310" s="48"/>
      <c r="Q310" s="48"/>
      <c r="R310" s="22"/>
    </row>
    <row r="311" spans="4:18">
      <c r="D311" s="22"/>
      <c r="E311" s="23" t="str">
        <f t="shared" si="17"/>
        <v>T0.15AdhesiveNITTO_5000NCB</v>
      </c>
      <c r="F311" s="23" t="str">
        <f>D300&amp;$A$257</f>
        <v>T0.15Adhesive</v>
      </c>
      <c r="G311" s="37" t="s">
        <v>574</v>
      </c>
      <c r="H311" s="22"/>
      <c r="I311" s="22"/>
      <c r="J311" s="48"/>
      <c r="K311" s="48"/>
      <c r="L311" s="48"/>
      <c r="M311" s="48"/>
      <c r="N311" s="37"/>
      <c r="O311" s="48"/>
      <c r="P311" s="48"/>
      <c r="Q311" s="48"/>
      <c r="R311" s="22"/>
    </row>
    <row r="312" spans="4:18">
      <c r="D312" s="22"/>
      <c r="E312" s="23" t="str">
        <f>F312&amp;G312</f>
        <v>T0.15AdhesiveNT5000NSLV</v>
      </c>
      <c r="F312" s="23" t="str">
        <f>D300&amp;$A$257</f>
        <v>T0.15Adhesive</v>
      </c>
      <c r="G312" s="43" t="s">
        <v>575</v>
      </c>
      <c r="H312" s="22"/>
      <c r="I312" s="22"/>
      <c r="J312" s="22"/>
      <c r="K312" s="22"/>
      <c r="L312" s="22"/>
      <c r="M312" s="22"/>
      <c r="N312" s="37"/>
      <c r="O312" s="22"/>
      <c r="P312" s="22"/>
      <c r="Q312" s="22"/>
      <c r="R312" s="22"/>
    </row>
    <row r="313" spans="4:18">
      <c r="D313" s="22"/>
      <c r="E313" s="23" t="str">
        <f>F313&amp;G313</f>
        <v>T0.15Adhesive3M_4914VHB</v>
      </c>
      <c r="F313" s="23" t="str">
        <f>D300&amp;$A$257</f>
        <v>T0.15Adhesive</v>
      </c>
      <c r="G313" s="46" t="s">
        <v>970</v>
      </c>
      <c r="H313" s="22"/>
      <c r="I313" s="22"/>
      <c r="J313" s="22"/>
      <c r="K313" s="22"/>
      <c r="L313" s="22"/>
      <c r="M313" s="22"/>
      <c r="N313" s="37"/>
      <c r="O313" s="22"/>
      <c r="P313" s="22"/>
      <c r="Q313" s="22"/>
      <c r="R313" s="22"/>
    </row>
    <row r="314" spans="4:18">
      <c r="D314" s="152"/>
      <c r="E314" s="153" t="str">
        <f>F314&amp;G314</f>
        <v>T0.15AdhesiveTESA_62622</v>
      </c>
      <c r="F314" s="153" t="str">
        <f>D300&amp;$A$257</f>
        <v>T0.15Adhesive</v>
      </c>
      <c r="G314" s="157" t="s">
        <v>971</v>
      </c>
      <c r="H314" s="22"/>
      <c r="I314" s="22"/>
      <c r="J314" s="22"/>
      <c r="K314" s="22"/>
      <c r="L314" s="22"/>
      <c r="M314" s="22"/>
      <c r="N314" s="37"/>
      <c r="O314" s="22"/>
      <c r="P314" s="22"/>
      <c r="Q314" s="22"/>
      <c r="R314" s="22"/>
    </row>
    <row r="315" spans="4:18">
      <c r="D315" s="22"/>
      <c r="E315" s="23" t="str">
        <f t="shared" si="17"/>
        <v>T0.15AdhesiveOther_Fill_ME_Remark</v>
      </c>
      <c r="F315" s="23" t="str">
        <f>D300&amp;$A$257</f>
        <v>T0.15Adhesive</v>
      </c>
      <c r="G315" s="35" t="s">
        <v>911</v>
      </c>
      <c r="H315" s="22"/>
      <c r="I315" s="22"/>
      <c r="J315" s="22"/>
      <c r="K315" s="22"/>
      <c r="L315" s="22"/>
      <c r="M315" s="22"/>
      <c r="N315" s="37"/>
      <c r="O315" s="22"/>
      <c r="P315" s="22"/>
      <c r="Q315" s="22"/>
      <c r="R315" s="22"/>
    </row>
    <row r="316" spans="4:18">
      <c r="D316" s="22"/>
      <c r="E316" s="23" t="str">
        <f t="shared" si="17"/>
        <v/>
      </c>
      <c r="F316" s="23"/>
      <c r="G316" s="46"/>
      <c r="H316" s="22"/>
      <c r="I316" s="22"/>
      <c r="J316" s="22"/>
      <c r="K316" s="22"/>
      <c r="L316" s="22"/>
      <c r="M316" s="22"/>
      <c r="N316" s="37"/>
      <c r="O316" s="22"/>
      <c r="P316" s="22"/>
      <c r="Q316" s="22"/>
      <c r="R316" s="22"/>
    </row>
    <row r="317" spans="4:18">
      <c r="D317" s="22" t="s">
        <v>972</v>
      </c>
      <c r="E317" s="23" t="str">
        <f t="shared" si="17"/>
        <v>T0.2AdhesiveDS_20</v>
      </c>
      <c r="F317" s="23" t="str">
        <f>D317&amp;$A$257</f>
        <v>T0.2Adhesive</v>
      </c>
      <c r="G317" s="46" t="s">
        <v>973</v>
      </c>
      <c r="H317" s="22"/>
      <c r="I317" s="22"/>
      <c r="J317" s="22"/>
      <c r="K317" s="22"/>
      <c r="L317" s="22"/>
      <c r="M317" s="22"/>
      <c r="N317" s="37"/>
      <c r="O317" s="22"/>
      <c r="P317" s="22"/>
      <c r="Q317" s="22"/>
      <c r="R317" s="22"/>
    </row>
    <row r="318" spans="4:18">
      <c r="D318" s="22"/>
      <c r="E318" s="23" t="str">
        <f t="shared" si="17"/>
        <v>T0.2AdhesiveTESA_68644</v>
      </c>
      <c r="F318" s="23" t="str">
        <f>D317&amp;$A$257</f>
        <v>T0.2Adhesive</v>
      </c>
      <c r="G318" s="46" t="s">
        <v>498</v>
      </c>
      <c r="H318" s="22"/>
      <c r="I318" s="22"/>
      <c r="J318" s="22"/>
      <c r="K318" s="22"/>
      <c r="L318" s="22"/>
      <c r="M318" s="22"/>
      <c r="N318" s="37"/>
      <c r="O318" s="22"/>
      <c r="P318" s="22"/>
      <c r="Q318" s="22"/>
      <c r="R318" s="22"/>
    </row>
    <row r="319" spans="4:18">
      <c r="D319" s="22"/>
      <c r="E319" s="23" t="str">
        <f t="shared" si="17"/>
        <v>T0.2AdhesiveTESA_61365</v>
      </c>
      <c r="F319" s="23" t="str">
        <f>D317&amp;$A$257</f>
        <v>T0.2Adhesive</v>
      </c>
      <c r="G319" s="46" t="s">
        <v>497</v>
      </c>
      <c r="H319" s="22"/>
      <c r="I319" s="22"/>
      <c r="J319" s="22"/>
      <c r="K319" s="22"/>
      <c r="L319" s="22"/>
      <c r="M319" s="22"/>
      <c r="N319" s="37"/>
      <c r="O319" s="22"/>
      <c r="P319" s="22"/>
      <c r="Q319" s="22"/>
      <c r="R319" s="22"/>
    </row>
    <row r="320" spans="4:18">
      <c r="D320" s="22"/>
      <c r="E320" s="23" t="str">
        <f t="shared" si="17"/>
        <v>T0.2AdhesiveTESA_61395</v>
      </c>
      <c r="F320" s="23" t="str">
        <f>D317&amp;$A$257</f>
        <v>T0.2Adhesive</v>
      </c>
      <c r="G320" s="46" t="s">
        <v>496</v>
      </c>
      <c r="H320" s="22"/>
      <c r="I320" s="22"/>
      <c r="J320" s="22"/>
      <c r="K320" s="22"/>
      <c r="L320" s="22"/>
      <c r="M320" s="22"/>
      <c r="N320" s="37"/>
      <c r="O320" s="22"/>
      <c r="P320" s="22"/>
      <c r="Q320" s="22"/>
      <c r="R320" s="45"/>
    </row>
    <row r="321" spans="4:18">
      <c r="D321" s="22"/>
      <c r="E321" s="23" t="str">
        <f t="shared" si="17"/>
        <v>T0.2AdhesiveTESA_62624</v>
      </c>
      <c r="F321" s="23" t="str">
        <f>D317&amp;$A$257</f>
        <v>T0.2Adhesive</v>
      </c>
      <c r="G321" s="46" t="s">
        <v>974</v>
      </c>
      <c r="H321" s="22"/>
      <c r="I321" s="22"/>
      <c r="J321" s="22"/>
      <c r="K321" s="22"/>
      <c r="L321" s="22"/>
      <c r="M321" s="22"/>
      <c r="N321" s="37"/>
      <c r="O321" s="22"/>
      <c r="P321" s="22"/>
      <c r="Q321" s="22"/>
      <c r="R321" s="22"/>
    </row>
    <row r="322" spans="4:18">
      <c r="D322" s="22"/>
      <c r="E322" s="23" t="str">
        <f t="shared" ref="E322:E331" si="18">F322&amp;G322</f>
        <v>T0.2Adhesive3M_WT_20</v>
      </c>
      <c r="F322" s="23" t="str">
        <f>D317&amp;$A$257</f>
        <v>T0.2Adhesive</v>
      </c>
      <c r="G322" s="46" t="s">
        <v>975</v>
      </c>
      <c r="H322" s="22"/>
      <c r="I322" s="22"/>
      <c r="J322" s="22"/>
      <c r="K322" s="22"/>
      <c r="L322" s="22"/>
      <c r="M322" s="22"/>
      <c r="N322" s="37"/>
      <c r="O322" s="22"/>
      <c r="P322" s="22"/>
      <c r="Q322" s="22"/>
      <c r="R322" s="22"/>
    </row>
    <row r="323" spans="4:18">
      <c r="D323" s="22"/>
      <c r="E323" s="23" t="str">
        <f t="shared" si="18"/>
        <v>T0.2AdhesiveOther_Fill_ME_Remark</v>
      </c>
      <c r="F323" s="23" t="str">
        <f>D317&amp;$A$257</f>
        <v>T0.2Adhesive</v>
      </c>
      <c r="G323" s="35" t="s">
        <v>931</v>
      </c>
      <c r="H323" s="22"/>
      <c r="I323" s="22"/>
      <c r="J323" s="22"/>
      <c r="K323" s="22"/>
      <c r="L323" s="22"/>
      <c r="M323" s="22"/>
      <c r="N323" s="37"/>
      <c r="O323" s="22"/>
      <c r="P323" s="22"/>
      <c r="Q323" s="22"/>
      <c r="R323" s="22"/>
    </row>
    <row r="324" spans="4:18">
      <c r="D324" s="22"/>
      <c r="E324" s="23" t="str">
        <f t="shared" si="18"/>
        <v/>
      </c>
      <c r="F324" s="23"/>
      <c r="G324" s="46"/>
      <c r="H324" s="22"/>
      <c r="I324" s="22"/>
      <c r="J324" s="22"/>
      <c r="K324" s="22"/>
      <c r="L324" s="22"/>
      <c r="M324" s="22"/>
      <c r="N324" s="37"/>
      <c r="O324" s="22"/>
      <c r="P324" s="22"/>
      <c r="Q324" s="22"/>
      <c r="R324" s="22"/>
    </row>
    <row r="325" spans="4:18">
      <c r="D325" s="22" t="s">
        <v>976</v>
      </c>
      <c r="E325" s="23" t="str">
        <f t="shared" si="18"/>
        <v>T0.25AdhesiveSLR1125</v>
      </c>
      <c r="F325" s="23" t="str">
        <f>D325&amp;$A$257</f>
        <v>T0.25Adhesive</v>
      </c>
      <c r="G325" s="46" t="s">
        <v>977</v>
      </c>
      <c r="H325" s="22"/>
      <c r="I325" s="22"/>
      <c r="J325" s="22"/>
      <c r="K325" s="22"/>
      <c r="L325" s="22"/>
      <c r="M325" s="22"/>
      <c r="N325" s="37"/>
      <c r="O325" s="22"/>
      <c r="P325" s="22"/>
      <c r="Q325" s="22"/>
      <c r="R325" s="22"/>
    </row>
    <row r="326" spans="4:18">
      <c r="D326" s="22"/>
      <c r="E326" s="23" t="str">
        <f t="shared" si="18"/>
        <v>T0.25AdhesiveTESA_62645</v>
      </c>
      <c r="F326" s="23" t="str">
        <f>D325&amp;$A$257</f>
        <v>T0.25Adhesive</v>
      </c>
      <c r="G326" s="46" t="s">
        <v>978</v>
      </c>
      <c r="H326" s="22"/>
      <c r="I326" s="22"/>
      <c r="J326" s="22"/>
      <c r="K326" s="22"/>
      <c r="L326" s="22"/>
      <c r="M326" s="22"/>
      <c r="N326" s="37"/>
      <c r="O326" s="22"/>
      <c r="P326" s="22"/>
      <c r="Q326" s="22"/>
      <c r="R326" s="22"/>
    </row>
    <row r="327" spans="4:18">
      <c r="D327" s="22"/>
      <c r="E327" s="23" t="str">
        <f t="shared" si="18"/>
        <v>T0.25Adhesive3M_4914VHB</v>
      </c>
      <c r="F327" s="23" t="str">
        <f>D325&amp;$A$257</f>
        <v>T0.25Adhesive</v>
      </c>
      <c r="G327" s="46" t="s">
        <v>979</v>
      </c>
      <c r="H327" s="22"/>
      <c r="I327" s="22"/>
      <c r="J327" s="22"/>
      <c r="K327" s="22"/>
      <c r="L327" s="22"/>
      <c r="M327" s="22"/>
      <c r="N327" s="37"/>
      <c r="O327" s="22"/>
      <c r="P327" s="22"/>
      <c r="Q327" s="22"/>
      <c r="R327" s="22"/>
    </row>
    <row r="328" spans="4:18">
      <c r="D328" s="22"/>
      <c r="E328" s="23" t="str">
        <f t="shared" si="18"/>
        <v>T0.25Adhesive3M_SR5625</v>
      </c>
      <c r="F328" s="23" t="str">
        <f>D325&amp;$A$257</f>
        <v>T0.25Adhesive</v>
      </c>
      <c r="G328" s="46" t="s">
        <v>980</v>
      </c>
      <c r="H328" s="22"/>
      <c r="I328" s="22"/>
      <c r="J328" s="22"/>
      <c r="K328" s="22"/>
      <c r="L328" s="22"/>
      <c r="M328" s="22"/>
      <c r="N328" s="37"/>
      <c r="O328" s="22"/>
      <c r="P328" s="22"/>
      <c r="Q328" s="22"/>
      <c r="R328" s="22"/>
    </row>
    <row r="329" spans="4:18">
      <c r="D329" s="152"/>
      <c r="E329" s="153" t="str">
        <f t="shared" si="18"/>
        <v>T0.25Adhesive3M_250HL</v>
      </c>
      <c r="F329" s="153" t="str">
        <f>D325&amp;$A$257</f>
        <v>T0.25Adhesive</v>
      </c>
      <c r="G329" s="157" t="s">
        <v>981</v>
      </c>
      <c r="H329" s="22"/>
      <c r="I329" s="22"/>
      <c r="J329" s="22"/>
      <c r="K329" s="22"/>
      <c r="L329" s="22"/>
      <c r="M329" s="22"/>
      <c r="N329" s="37"/>
      <c r="O329" s="22"/>
      <c r="P329" s="22"/>
      <c r="Q329" s="22"/>
      <c r="R329" s="22"/>
    </row>
    <row r="330" spans="4:18">
      <c r="D330" s="152"/>
      <c r="E330" s="153" t="str">
        <f t="shared" si="18"/>
        <v>T0.25AdhesiveFT_5295</v>
      </c>
      <c r="F330" s="153" t="str">
        <f>D325&amp;$A$257</f>
        <v>T0.25Adhesive</v>
      </c>
      <c r="G330" s="157" t="s">
        <v>982</v>
      </c>
      <c r="H330" s="22"/>
      <c r="I330" s="22"/>
      <c r="J330" s="22"/>
      <c r="K330" s="22"/>
      <c r="L330" s="22"/>
      <c r="M330" s="22"/>
      <c r="N330" s="37"/>
      <c r="O330" s="22"/>
      <c r="P330" s="22"/>
      <c r="Q330" s="22"/>
      <c r="R330" s="22"/>
    </row>
    <row r="331" spans="4:18">
      <c r="D331" s="22"/>
      <c r="E331" s="23" t="str">
        <f t="shared" si="18"/>
        <v>T0.25AdhesiveOther_Fill_ME_Remark</v>
      </c>
      <c r="F331" s="23" t="str">
        <f>D325&amp;$A$257</f>
        <v>T0.25Adhesive</v>
      </c>
      <c r="G331" s="35" t="s">
        <v>911</v>
      </c>
      <c r="H331" s="22"/>
      <c r="I331" s="22"/>
      <c r="J331" s="22"/>
      <c r="K331" s="22"/>
      <c r="L331" s="22"/>
      <c r="M331" s="22"/>
      <c r="N331" s="37"/>
      <c r="O331" s="22"/>
      <c r="P331" s="22"/>
      <c r="Q331" s="22"/>
      <c r="R331" s="22"/>
    </row>
    <row r="332" spans="4:18">
      <c r="D332" s="22"/>
      <c r="E332" s="23"/>
      <c r="F332" s="23"/>
      <c r="G332" s="46"/>
      <c r="H332" s="22"/>
      <c r="I332" s="22"/>
      <c r="J332" s="22"/>
      <c r="K332" s="22"/>
      <c r="L332" s="22"/>
      <c r="M332" s="22"/>
      <c r="N332" s="37"/>
      <c r="O332" s="22"/>
      <c r="P332" s="22"/>
      <c r="Q332" s="22"/>
      <c r="R332" s="22"/>
    </row>
    <row r="333" spans="4:18">
      <c r="D333" s="22" t="s">
        <v>983</v>
      </c>
      <c r="E333" s="23" t="str">
        <f>F333&amp;G333</f>
        <v>T0.3AdhesiveNITTO_GA6330</v>
      </c>
      <c r="F333" s="23" t="str">
        <f>D333&amp;$A$257</f>
        <v>T0.3Adhesive</v>
      </c>
      <c r="G333" s="46" t="s">
        <v>984</v>
      </c>
      <c r="H333" s="22"/>
      <c r="I333" s="22"/>
      <c r="J333" s="48"/>
      <c r="K333" s="48"/>
      <c r="L333" s="48"/>
      <c r="M333" s="48"/>
      <c r="N333" s="37"/>
      <c r="O333" s="48"/>
      <c r="P333" s="48"/>
      <c r="Q333" s="48"/>
      <c r="R333" s="22"/>
    </row>
    <row r="334" spans="4:18">
      <c r="D334" s="22"/>
      <c r="E334" s="23" t="str">
        <f>F334&amp;G334</f>
        <v>T0.3AdhesiveSONY_UT1430</v>
      </c>
      <c r="F334" s="23" t="str">
        <f>D333&amp;$A$257</f>
        <v>T0.3Adhesive</v>
      </c>
      <c r="G334" s="46" t="s">
        <v>576</v>
      </c>
      <c r="H334" s="22"/>
      <c r="I334" s="22"/>
      <c r="J334" s="48"/>
      <c r="K334" s="48"/>
      <c r="L334" s="48"/>
      <c r="M334" s="48"/>
      <c r="N334" s="37"/>
      <c r="O334" s="48"/>
      <c r="P334" s="48"/>
      <c r="Q334" s="48"/>
      <c r="R334" s="22"/>
    </row>
    <row r="335" spans="4:18">
      <c r="D335" s="22"/>
      <c r="E335" s="23" t="str">
        <f>F335&amp;G335</f>
        <v>T0.3AdhesiveTESA_61315</v>
      </c>
      <c r="F335" s="23" t="str">
        <f>D333&amp;$A$257</f>
        <v>T0.3Adhesive</v>
      </c>
      <c r="G335" s="46" t="s">
        <v>577</v>
      </c>
      <c r="H335" s="22"/>
      <c r="I335" s="22"/>
      <c r="J335" s="48"/>
      <c r="K335" s="48"/>
      <c r="L335" s="48"/>
      <c r="M335" s="48"/>
      <c r="N335" s="37"/>
      <c r="O335" s="48"/>
      <c r="P335" s="48"/>
      <c r="Q335" s="152"/>
      <c r="R335" s="152"/>
    </row>
    <row r="336" spans="4:18">
      <c r="D336" s="22"/>
      <c r="E336" s="23" t="str">
        <f>F336&amp;G336</f>
        <v>T0.3AdhesiveTESA_62626</v>
      </c>
      <c r="F336" s="23" t="str">
        <f>D333&amp;$A$257</f>
        <v>T0.3Adhesive</v>
      </c>
      <c r="G336" s="46" t="s">
        <v>578</v>
      </c>
      <c r="H336" s="22"/>
      <c r="I336" s="22"/>
      <c r="J336" s="48"/>
      <c r="K336" s="48"/>
      <c r="L336" s="48"/>
      <c r="M336" s="48"/>
      <c r="N336" s="37"/>
      <c r="O336" s="48"/>
      <c r="P336" s="48"/>
      <c r="Q336" s="48"/>
      <c r="R336" s="22"/>
    </row>
    <row r="337" spans="3:18">
      <c r="D337" s="22"/>
      <c r="E337" s="23" t="str">
        <f>F337&amp;G337</f>
        <v>T0.3AdhesiveOther_Fill_ME_Remark</v>
      </c>
      <c r="F337" s="23" t="str">
        <f>D333&amp;$A$257</f>
        <v>T0.3Adhesive</v>
      </c>
      <c r="G337" s="35" t="s">
        <v>859</v>
      </c>
      <c r="H337" s="22"/>
      <c r="I337" s="22"/>
      <c r="J337" s="48"/>
      <c r="K337" s="48"/>
      <c r="L337" s="48"/>
      <c r="M337" s="48"/>
      <c r="N337" s="37"/>
      <c r="O337" s="48"/>
      <c r="P337" s="48"/>
      <c r="Q337" s="48"/>
      <c r="R337" s="22"/>
    </row>
    <row r="338" spans="3:18">
      <c r="D338" s="22"/>
      <c r="E338" s="23" t="str">
        <f t="shared" ref="E338:E360" si="19">F338&amp;G338</f>
        <v/>
      </c>
      <c r="F338" s="23"/>
      <c r="G338" s="46"/>
      <c r="H338" s="22"/>
      <c r="I338" s="22"/>
      <c r="J338" s="48"/>
      <c r="K338" s="48"/>
      <c r="L338" s="48"/>
      <c r="M338" s="48"/>
      <c r="N338" s="37"/>
      <c r="O338" s="48"/>
      <c r="P338" s="48"/>
      <c r="Q338" s="48"/>
      <c r="R338" s="22"/>
    </row>
    <row r="339" spans="3:18">
      <c r="D339" s="22" t="s">
        <v>985</v>
      </c>
      <c r="E339" s="23" t="str">
        <f t="shared" si="19"/>
        <v>T0.4AdhesiveNITTO_DY_040N</v>
      </c>
      <c r="F339" s="23" t="str">
        <f>D339&amp;$A$257</f>
        <v>T0.4Adhesive</v>
      </c>
      <c r="G339" s="46" t="s">
        <v>986</v>
      </c>
      <c r="H339" s="22"/>
      <c r="I339" s="22"/>
      <c r="J339" s="48"/>
      <c r="K339" s="48"/>
      <c r="L339" s="48"/>
      <c r="M339" s="48"/>
      <c r="N339" s="37"/>
      <c r="O339" s="48"/>
      <c r="P339" s="48"/>
      <c r="Q339" s="48"/>
      <c r="R339" s="22"/>
    </row>
    <row r="340" spans="3:18">
      <c r="D340" s="22"/>
      <c r="E340" s="23" t="str">
        <f t="shared" si="19"/>
        <v>T0.4Adhesive3M_BD041VHB</v>
      </c>
      <c r="F340" s="23" t="str">
        <f>D339&amp;$A$257</f>
        <v>T0.4Adhesive</v>
      </c>
      <c r="G340" s="46" t="s">
        <v>579</v>
      </c>
      <c r="H340" s="22"/>
      <c r="I340" s="22"/>
      <c r="J340" s="48"/>
      <c r="K340" s="48"/>
      <c r="L340" s="48"/>
      <c r="M340" s="48"/>
      <c r="N340" s="37"/>
      <c r="O340" s="48"/>
      <c r="P340" s="48"/>
      <c r="Q340" s="48"/>
      <c r="R340" s="22"/>
    </row>
    <row r="341" spans="3:18">
      <c r="D341" s="22"/>
      <c r="E341" s="23" t="str">
        <f t="shared" si="19"/>
        <v>T0.4Adhesive3M_4920VHB</v>
      </c>
      <c r="F341" s="23" t="str">
        <f>D339&amp;$A$257</f>
        <v>T0.4Adhesive</v>
      </c>
      <c r="G341" s="46" t="s">
        <v>580</v>
      </c>
      <c r="H341" s="22"/>
      <c r="I341" s="22"/>
      <c r="J341" s="48"/>
      <c r="K341" s="48"/>
      <c r="L341" s="48"/>
      <c r="M341" s="48"/>
      <c r="N341" s="37"/>
      <c r="O341" s="48"/>
      <c r="P341" s="48"/>
      <c r="Q341" s="48"/>
      <c r="R341" s="22"/>
    </row>
    <row r="342" spans="3:18">
      <c r="D342" s="22"/>
      <c r="E342" s="23" t="str">
        <f t="shared" si="19"/>
        <v>T0.4AdhesiveDIC_8404B</v>
      </c>
      <c r="F342" s="23" t="str">
        <f>D339&amp;$A$257</f>
        <v>T0.4Adhesive</v>
      </c>
      <c r="G342" s="46" t="s">
        <v>581</v>
      </c>
      <c r="H342" s="22"/>
      <c r="I342" s="22"/>
      <c r="J342" s="48"/>
      <c r="K342" s="48"/>
      <c r="L342" s="48"/>
      <c r="M342" s="48"/>
      <c r="N342" s="37"/>
      <c r="O342" s="48"/>
      <c r="P342" s="48"/>
      <c r="Q342" s="48"/>
      <c r="R342" s="22"/>
    </row>
    <row r="343" spans="3:18">
      <c r="D343" s="22"/>
      <c r="E343" s="23" t="str">
        <f t="shared" si="19"/>
        <v>T0.4Adhesive3M_5915VHB</v>
      </c>
      <c r="F343" s="23" t="str">
        <f>D339&amp;$A$257</f>
        <v>T0.4Adhesive</v>
      </c>
      <c r="G343" s="46" t="s">
        <v>582</v>
      </c>
      <c r="H343" s="22"/>
      <c r="I343" s="22"/>
      <c r="J343" s="22"/>
      <c r="K343" s="22"/>
      <c r="L343" s="22"/>
      <c r="M343" s="22"/>
      <c r="N343" s="37"/>
      <c r="O343" s="22"/>
      <c r="P343" s="22"/>
      <c r="Q343" s="22"/>
      <c r="R343" s="22"/>
    </row>
    <row r="344" spans="3:18">
      <c r="D344" s="152"/>
      <c r="E344" s="153" t="str">
        <f t="shared" si="19"/>
        <v>T0.4AdhesiveTESA_62648</v>
      </c>
      <c r="F344" s="153" t="str">
        <f>D339&amp;$A$257</f>
        <v>T0.4Adhesive</v>
      </c>
      <c r="G344" s="157" t="s">
        <v>987</v>
      </c>
      <c r="H344" s="22"/>
      <c r="I344" s="22"/>
      <c r="J344" s="22"/>
      <c r="K344" s="22"/>
      <c r="L344" s="22"/>
      <c r="M344" s="22"/>
      <c r="N344" s="37"/>
      <c r="O344" s="22"/>
      <c r="P344" s="22"/>
      <c r="Q344" s="22"/>
      <c r="R344" s="22"/>
    </row>
    <row r="345" spans="3:18">
      <c r="C345" s="25"/>
      <c r="D345" s="152"/>
      <c r="E345" s="153" t="str">
        <f t="shared" si="19"/>
        <v>T0.4AdhesiveTESA_70640</v>
      </c>
      <c r="F345" s="153" t="str">
        <f>D339&amp;$A$257</f>
        <v>T0.4Adhesive</v>
      </c>
      <c r="G345" s="157" t="s">
        <v>988</v>
      </c>
      <c r="H345" s="22"/>
      <c r="I345" s="22"/>
      <c r="J345" s="22"/>
      <c r="K345" s="22"/>
      <c r="L345" s="22"/>
      <c r="M345" s="22"/>
      <c r="N345" s="37"/>
      <c r="O345" s="22"/>
      <c r="P345" s="22"/>
      <c r="Q345" s="22"/>
      <c r="R345" s="22"/>
    </row>
    <row r="346" spans="3:18">
      <c r="C346" s="27"/>
      <c r="D346" s="22"/>
      <c r="E346" s="23" t="str">
        <f t="shared" si="19"/>
        <v>T0.4AdhesiveOther_Fill_ME_Remark</v>
      </c>
      <c r="F346" s="23" t="str">
        <f>D339&amp;$A$257</f>
        <v>T0.4Adhesive</v>
      </c>
      <c r="G346" s="35" t="s">
        <v>911</v>
      </c>
      <c r="H346" s="22"/>
      <c r="I346" s="22"/>
      <c r="J346" s="22"/>
      <c r="K346" s="22"/>
      <c r="L346" s="22"/>
      <c r="M346" s="22"/>
      <c r="N346" s="37"/>
      <c r="O346" s="22"/>
      <c r="P346" s="22"/>
      <c r="Q346" s="22"/>
      <c r="R346" s="22"/>
    </row>
    <row r="347" spans="3:18">
      <c r="C347" s="24"/>
      <c r="D347" s="22"/>
      <c r="E347" s="23" t="str">
        <f t="shared" si="19"/>
        <v/>
      </c>
      <c r="F347" s="23"/>
      <c r="G347" s="46"/>
      <c r="H347" s="22"/>
      <c r="I347" s="22"/>
      <c r="J347" s="22"/>
      <c r="K347" s="22"/>
      <c r="L347" s="22"/>
      <c r="M347" s="22"/>
      <c r="N347" s="37"/>
      <c r="O347" s="22"/>
      <c r="P347" s="22"/>
      <c r="Q347" s="22"/>
      <c r="R347" s="22"/>
    </row>
    <row r="348" spans="3:18">
      <c r="C348" s="24"/>
      <c r="D348" s="22" t="s">
        <v>989</v>
      </c>
      <c r="E348" s="23" t="str">
        <f>F348&amp;G348</f>
        <v>T0.64Adhesive3M_5925VHB替代料_科捷龍_KJ6064B</v>
      </c>
      <c r="F348" s="23" t="str">
        <f>D348&amp;$A$257</f>
        <v>T0.64Adhesive</v>
      </c>
      <c r="G348" s="46" t="s">
        <v>990</v>
      </c>
      <c r="H348" s="22"/>
      <c r="I348" s="22"/>
      <c r="J348" s="22"/>
      <c r="K348" s="22"/>
      <c r="L348" s="22"/>
      <c r="M348" s="22"/>
      <c r="N348" s="37"/>
      <c r="O348" s="22"/>
      <c r="P348" s="22"/>
      <c r="Q348" s="22"/>
      <c r="R348" s="22"/>
    </row>
    <row r="349" spans="3:18">
      <c r="C349" s="24"/>
      <c r="D349" s="22"/>
      <c r="E349" s="23" t="str">
        <f>F349&amp;G349</f>
        <v>T0.64AdhesiveNITTO_DY064N</v>
      </c>
      <c r="F349" s="23" t="str">
        <f>D348&amp;$A$257</f>
        <v>T0.64Adhesive</v>
      </c>
      <c r="G349" s="46" t="s">
        <v>583</v>
      </c>
      <c r="H349" s="22"/>
      <c r="I349" s="22"/>
      <c r="J349" s="22"/>
      <c r="K349" s="22"/>
      <c r="L349" s="22"/>
      <c r="M349" s="22"/>
      <c r="N349" s="37"/>
      <c r="O349" s="22"/>
      <c r="P349" s="22"/>
      <c r="Q349" s="22"/>
      <c r="R349" s="22"/>
    </row>
    <row r="350" spans="3:18">
      <c r="C350" s="24"/>
      <c r="D350" s="22"/>
      <c r="E350" s="23" t="str">
        <f>F350&amp;G350</f>
        <v>T0.64Adhesive3M_5925VHB</v>
      </c>
      <c r="F350" s="23" t="str">
        <f>D348&amp;$A$257</f>
        <v>T0.64Adhesive</v>
      </c>
      <c r="G350" s="46" t="s">
        <v>584</v>
      </c>
      <c r="H350" s="22"/>
      <c r="I350" s="22"/>
      <c r="J350" s="22"/>
      <c r="K350" s="22"/>
      <c r="L350" s="22"/>
      <c r="M350" s="22"/>
      <c r="N350" s="37"/>
      <c r="O350" s="22"/>
      <c r="P350" s="22"/>
      <c r="Q350" s="22"/>
      <c r="R350" s="22"/>
    </row>
    <row r="351" spans="3:18">
      <c r="C351" s="24"/>
      <c r="D351" s="22"/>
      <c r="E351" s="23" t="str">
        <f>F351&amp;G351</f>
        <v>T0.64Adhesive3M_BD065VHB</v>
      </c>
      <c r="F351" s="23" t="str">
        <f>D348&amp;$A$257</f>
        <v>T0.64Adhesive</v>
      </c>
      <c r="G351" s="46" t="s">
        <v>585</v>
      </c>
      <c r="H351" s="22"/>
      <c r="I351" s="22"/>
      <c r="J351" s="48"/>
      <c r="K351" s="48"/>
      <c r="L351" s="48"/>
      <c r="M351" s="48"/>
      <c r="N351" s="37"/>
      <c r="O351" s="48"/>
      <c r="P351" s="48"/>
      <c r="Q351" s="48"/>
      <c r="R351" s="22"/>
    </row>
    <row r="352" spans="3:18">
      <c r="C352" s="24"/>
      <c r="D352" s="22"/>
      <c r="E352" s="23" t="str">
        <f>F352&amp;G352</f>
        <v>T0.64AdhesiveOther_Fill_ME_Remark</v>
      </c>
      <c r="F352" s="23" t="str">
        <f>D348&amp;$A$257</f>
        <v>T0.64Adhesive</v>
      </c>
      <c r="G352" s="35" t="s">
        <v>859</v>
      </c>
      <c r="H352" s="22"/>
      <c r="I352" s="22"/>
      <c r="J352" s="48"/>
      <c r="K352" s="48"/>
      <c r="L352" s="48"/>
      <c r="M352" s="48"/>
      <c r="N352" s="37"/>
      <c r="O352" s="48"/>
      <c r="P352" s="48"/>
      <c r="Q352" s="48"/>
      <c r="R352" s="22"/>
    </row>
    <row r="353" spans="1:18">
      <c r="C353" s="24"/>
      <c r="D353" s="22"/>
      <c r="E353" s="23" t="str">
        <f t="shared" si="19"/>
        <v/>
      </c>
      <c r="F353" s="23"/>
      <c r="G353" s="46"/>
      <c r="H353" s="22"/>
      <c r="I353" s="22"/>
      <c r="J353" s="48"/>
      <c r="K353" s="48"/>
      <c r="L353" s="48"/>
      <c r="M353" s="48"/>
      <c r="N353" s="37"/>
      <c r="O353" s="48"/>
      <c r="P353" s="48"/>
      <c r="Q353" s="48"/>
      <c r="R353" s="22"/>
    </row>
    <row r="354" spans="1:18">
      <c r="C354" s="25"/>
      <c r="D354" s="22" t="s">
        <v>991</v>
      </c>
      <c r="E354" s="23" t="str">
        <f t="shared" si="19"/>
        <v>T0.7AdhesiveSDTT_7N</v>
      </c>
      <c r="F354" s="23" t="str">
        <f>D354&amp;$A$257</f>
        <v>T0.7Adhesive</v>
      </c>
      <c r="G354" s="46" t="s">
        <v>607</v>
      </c>
      <c r="H354" s="22"/>
      <c r="I354" s="22"/>
      <c r="J354" s="48"/>
      <c r="K354" s="48"/>
      <c r="L354" s="48"/>
      <c r="M354" s="48"/>
      <c r="N354" s="37"/>
      <c r="O354" s="48"/>
      <c r="P354" s="48"/>
      <c r="Q354" s="48"/>
      <c r="R354" s="22"/>
    </row>
    <row r="355" spans="1:18">
      <c r="C355" s="25"/>
      <c r="D355" s="22"/>
      <c r="E355" s="23" t="str">
        <f t="shared" si="19"/>
        <v>T0.7AdhesiveOther_Fill_ME_Remark</v>
      </c>
      <c r="F355" s="23" t="str">
        <f>D354&amp;$A$257</f>
        <v>T0.7Adhesive</v>
      </c>
      <c r="G355" s="35" t="s">
        <v>859</v>
      </c>
      <c r="H355" s="22"/>
      <c r="I355" s="22"/>
      <c r="J355" s="48"/>
      <c r="K355" s="48"/>
      <c r="L355" s="48"/>
      <c r="M355" s="48"/>
      <c r="N355" s="37"/>
      <c r="O355" s="48"/>
      <c r="P355" s="48"/>
      <c r="Q355" s="48"/>
      <c r="R355" s="22"/>
    </row>
    <row r="356" spans="1:18">
      <c r="C356" s="25"/>
      <c r="D356" s="22"/>
      <c r="E356" s="23" t="str">
        <f t="shared" si="19"/>
        <v/>
      </c>
      <c r="F356" s="23"/>
      <c r="G356" s="46"/>
      <c r="H356" s="22"/>
      <c r="I356" s="22"/>
      <c r="J356" s="48"/>
      <c r="K356" s="48"/>
      <c r="L356" s="48"/>
      <c r="M356" s="48"/>
      <c r="N356" s="37"/>
      <c r="O356" s="48"/>
      <c r="P356" s="48"/>
      <c r="Q356" s="48"/>
      <c r="R356" s="22"/>
    </row>
    <row r="357" spans="1:18">
      <c r="C357" s="25"/>
      <c r="D357" s="22" t="s">
        <v>992</v>
      </c>
      <c r="E357" s="23" t="str">
        <f>F357&amp;G357</f>
        <v>T0.8AdhesiveNITTO_DY_080N</v>
      </c>
      <c r="F357" s="23" t="str">
        <f>D357&amp;$A$257</f>
        <v>T0.8Adhesive</v>
      </c>
      <c r="G357" s="46" t="s">
        <v>608</v>
      </c>
      <c r="H357" s="22"/>
      <c r="I357" s="22"/>
      <c r="J357" s="48"/>
      <c r="K357" s="48"/>
      <c r="L357" s="48"/>
      <c r="M357" s="48"/>
      <c r="N357" s="37"/>
      <c r="O357" s="48"/>
      <c r="P357" s="48"/>
      <c r="Q357" s="48"/>
      <c r="R357" s="22"/>
    </row>
    <row r="358" spans="1:18">
      <c r="D358" s="22"/>
      <c r="E358" s="23" t="str">
        <f>F358&amp;G358</f>
        <v>T0.8Adhesive3M_5930VHB</v>
      </c>
      <c r="F358" s="23" t="str">
        <f>D357&amp;$A$257</f>
        <v>T0.8Adhesive</v>
      </c>
      <c r="G358" s="46" t="s">
        <v>993</v>
      </c>
      <c r="H358" s="22"/>
      <c r="I358" s="22"/>
      <c r="J358" s="48"/>
      <c r="K358" s="48"/>
      <c r="L358" s="48"/>
      <c r="M358" s="48"/>
      <c r="N358" s="37"/>
      <c r="O358" s="48"/>
      <c r="P358" s="48"/>
      <c r="Q358" s="48"/>
      <c r="R358" s="22"/>
    </row>
    <row r="359" spans="1:18">
      <c r="D359" s="22"/>
      <c r="E359" s="23" t="str">
        <f>F359&amp;G359</f>
        <v>T0.8AdhesiveOther_Fill_ME_Remark</v>
      </c>
      <c r="F359" s="23" t="str">
        <f>D357&amp;$A$257</f>
        <v>T0.8Adhesive</v>
      </c>
      <c r="G359" s="35" t="s">
        <v>527</v>
      </c>
      <c r="H359" s="22"/>
      <c r="I359" s="22"/>
      <c r="J359" s="48"/>
      <c r="K359" s="48"/>
      <c r="L359" s="48"/>
      <c r="M359" s="48"/>
      <c r="N359" s="37"/>
      <c r="O359" s="48"/>
      <c r="P359" s="48"/>
      <c r="Q359" s="48"/>
      <c r="R359" s="22"/>
    </row>
    <row r="360" spans="1:18">
      <c r="D360" s="22"/>
      <c r="E360" s="23" t="str">
        <f t="shared" si="19"/>
        <v/>
      </c>
      <c r="F360" s="23"/>
      <c r="G360" s="46"/>
      <c r="H360" s="22"/>
      <c r="I360" s="22"/>
      <c r="J360" s="48"/>
      <c r="K360" s="48"/>
      <c r="L360" s="48"/>
      <c r="M360" s="48"/>
      <c r="N360" s="37"/>
      <c r="O360" s="48"/>
      <c r="P360" s="48"/>
      <c r="Q360" s="48"/>
      <c r="R360" s="22"/>
    </row>
    <row r="361" spans="1:18">
      <c r="H361" s="22"/>
      <c r="I361" s="22"/>
      <c r="J361" s="22"/>
      <c r="K361" s="22"/>
      <c r="L361" s="22"/>
      <c r="M361" s="22"/>
      <c r="N361" s="37"/>
      <c r="O361" s="22"/>
      <c r="P361" s="22"/>
      <c r="Q361" s="22"/>
      <c r="R361" s="22"/>
    </row>
    <row r="362" spans="1:18">
      <c r="D362" s="26"/>
      <c r="E362" s="27"/>
      <c r="F362" s="24"/>
      <c r="G362" s="41"/>
      <c r="H362" s="22"/>
      <c r="I362" s="22"/>
      <c r="J362" s="22"/>
      <c r="K362" s="22"/>
      <c r="L362" s="155"/>
      <c r="M362" s="155"/>
      <c r="N362" s="37"/>
      <c r="O362" s="22"/>
      <c r="P362" s="22"/>
      <c r="Q362" s="22"/>
      <c r="R362" s="22"/>
    </row>
    <row r="363" spans="1:18">
      <c r="A363" s="27"/>
      <c r="B363" s="42"/>
      <c r="D363" s="29" t="s">
        <v>101</v>
      </c>
      <c r="E363" s="29" t="s">
        <v>867</v>
      </c>
      <c r="F363" s="30" t="s">
        <v>495</v>
      </c>
      <c r="G363" s="29" t="s">
        <v>994</v>
      </c>
      <c r="H363" s="22"/>
      <c r="I363" s="22"/>
      <c r="J363" s="33"/>
      <c r="K363" s="33"/>
      <c r="L363" s="33"/>
      <c r="M363" s="33"/>
      <c r="N363" s="37"/>
      <c r="O363" s="33"/>
      <c r="P363" s="33"/>
      <c r="Q363" s="33"/>
      <c r="R363" s="33"/>
    </row>
    <row r="364" spans="1:18">
      <c r="A364" s="26"/>
      <c r="B364" s="24"/>
      <c r="D364" s="22" t="s">
        <v>995</v>
      </c>
      <c r="E364" s="23" t="str">
        <f>F364&amp;G364</f>
        <v>T0.12非阻燃醋酸非阻燃醋酸膠布</v>
      </c>
      <c r="F364" s="23" t="s">
        <v>996</v>
      </c>
      <c r="G364" s="23" t="s">
        <v>997</v>
      </c>
      <c r="H364" s="22"/>
      <c r="I364" s="22"/>
      <c r="J364" s="44"/>
      <c r="K364" s="44"/>
      <c r="L364" s="44"/>
      <c r="M364" s="44"/>
      <c r="N364" s="37"/>
      <c r="O364" s="44"/>
      <c r="P364" s="44"/>
      <c r="Q364" s="22"/>
      <c r="R364" s="22"/>
    </row>
    <row r="365" spans="1:18">
      <c r="A365" s="26"/>
      <c r="B365" s="24"/>
      <c r="D365" s="22" t="s">
        <v>998</v>
      </c>
      <c r="E365" s="23" t="str">
        <f>F365&amp;G365</f>
        <v>T0.25非阻燃醋酸非阻燃醋酸膠布</v>
      </c>
      <c r="F365" s="23" t="s">
        <v>999</v>
      </c>
      <c r="G365" s="23" t="s">
        <v>1000</v>
      </c>
      <c r="H365" s="22"/>
      <c r="I365" s="22"/>
      <c r="J365" s="44"/>
      <c r="K365" s="44"/>
      <c r="L365" s="44"/>
      <c r="M365" s="44"/>
      <c r="N365" s="37"/>
      <c r="O365" s="44"/>
      <c r="P365" s="44"/>
      <c r="Q365" s="22"/>
      <c r="R365" s="22"/>
    </row>
    <row r="366" spans="1:18">
      <c r="A366" s="26"/>
      <c r="B366" s="24"/>
      <c r="C366" s="25"/>
      <c r="D366" s="22"/>
      <c r="E366" s="23" t="str">
        <f>F366&amp;G366</f>
        <v>T0.25阻燃醋酸阻燃醋酸膠布</v>
      </c>
      <c r="F366" s="23" t="s">
        <v>1001</v>
      </c>
      <c r="G366" s="23" t="s">
        <v>733</v>
      </c>
      <c r="H366" s="22"/>
      <c r="I366" s="22"/>
      <c r="J366" s="44"/>
      <c r="K366" s="44"/>
      <c r="L366" s="44"/>
      <c r="M366" s="44"/>
      <c r="N366" s="37"/>
      <c r="O366" s="44"/>
      <c r="P366" s="44"/>
      <c r="Q366" s="22"/>
      <c r="R366" s="22"/>
    </row>
    <row r="367" spans="1:18">
      <c r="A367" s="26"/>
      <c r="B367" s="24"/>
      <c r="C367" s="25"/>
      <c r="D367" s="22"/>
      <c r="E367" s="23"/>
      <c r="F367" s="23"/>
      <c r="G367" s="35"/>
      <c r="H367" s="22"/>
      <c r="I367" s="22"/>
      <c r="J367" s="44"/>
      <c r="K367" s="44"/>
      <c r="L367" s="44"/>
      <c r="M367" s="44"/>
      <c r="N367" s="37"/>
      <c r="O367" s="44"/>
      <c r="P367" s="44"/>
      <c r="Q367" s="22"/>
      <c r="R367" s="22"/>
    </row>
    <row r="368" spans="1:18">
      <c r="A368" s="26"/>
      <c r="B368" s="24"/>
      <c r="D368" s="22"/>
      <c r="E368" s="23"/>
      <c r="F368" s="23"/>
      <c r="G368" s="35"/>
      <c r="H368" s="22"/>
      <c r="I368" s="22"/>
      <c r="J368" s="22"/>
      <c r="K368" s="44"/>
      <c r="L368" s="44"/>
      <c r="M368" s="44"/>
      <c r="N368" s="37"/>
      <c r="O368" s="44"/>
      <c r="P368" s="44"/>
      <c r="Q368" s="22"/>
      <c r="R368" s="22"/>
    </row>
    <row r="369" spans="1:18">
      <c r="A369" s="26"/>
      <c r="B369" s="24"/>
      <c r="D369" s="26"/>
      <c r="E369" s="24"/>
      <c r="F369" s="24"/>
      <c r="G369" s="35"/>
      <c r="H369" s="22"/>
      <c r="I369" s="22"/>
      <c r="J369" s="22"/>
      <c r="K369" s="44"/>
      <c r="L369" s="44"/>
      <c r="M369" s="44"/>
      <c r="N369" s="37"/>
      <c r="O369" s="44"/>
      <c r="P369" s="44"/>
      <c r="Q369" s="22"/>
      <c r="R369" s="22"/>
    </row>
    <row r="370" spans="1:18">
      <c r="A370" s="24"/>
      <c r="B370" s="24"/>
      <c r="D370" s="26"/>
      <c r="E370" s="27"/>
      <c r="F370" s="24"/>
      <c r="G370" s="51"/>
      <c r="H370" s="22"/>
      <c r="I370" s="22"/>
      <c r="J370" s="22"/>
      <c r="K370" s="155"/>
      <c r="L370" s="155"/>
      <c r="M370" s="155"/>
      <c r="N370" s="37"/>
      <c r="O370" s="155"/>
      <c r="P370" s="155"/>
      <c r="Q370" s="155"/>
      <c r="R370" s="22"/>
    </row>
    <row r="371" spans="1:18">
      <c r="A371" s="29" t="s">
        <v>603</v>
      </c>
      <c r="B371" s="30" t="s">
        <v>495</v>
      </c>
      <c r="D371" s="29" t="s">
        <v>101</v>
      </c>
      <c r="E371" s="29" t="s">
        <v>867</v>
      </c>
      <c r="F371" s="30" t="s">
        <v>495</v>
      </c>
      <c r="G371" s="30" t="s">
        <v>602</v>
      </c>
      <c r="H371" s="22"/>
      <c r="I371" s="22"/>
      <c r="J371" s="33"/>
      <c r="K371" s="33"/>
      <c r="L371" s="33"/>
      <c r="M371" s="33"/>
      <c r="N371" s="37"/>
      <c r="O371" s="33"/>
      <c r="P371" s="33"/>
      <c r="Q371" s="33"/>
      <c r="R371" s="33"/>
    </row>
    <row r="372" spans="1:18">
      <c r="A372" s="22">
        <v>1</v>
      </c>
      <c r="B372" s="23" t="str">
        <f>D372&amp;$A$371</f>
        <v>T0.1Absorber</v>
      </c>
      <c r="C372" s="25"/>
      <c r="D372" s="22" t="s">
        <v>528</v>
      </c>
      <c r="E372" s="23" t="str">
        <f>F372&amp;G372</f>
        <v>T0.1Absorber4010</v>
      </c>
      <c r="F372" s="23" t="str">
        <f>D372&amp;$A$371</f>
        <v>T0.1Absorber</v>
      </c>
      <c r="G372" s="43">
        <v>4010</v>
      </c>
      <c r="H372" s="22"/>
      <c r="I372" s="22"/>
      <c r="J372" s="44"/>
      <c r="K372" s="44"/>
      <c r="L372" s="44"/>
      <c r="M372" s="44"/>
      <c r="N372" s="37"/>
      <c r="O372" s="44"/>
      <c r="P372" s="44"/>
      <c r="Q372" s="44"/>
      <c r="R372" s="22"/>
    </row>
    <row r="373" spans="1:18">
      <c r="A373" s="22">
        <v>2</v>
      </c>
      <c r="B373" s="23" t="str">
        <f>D376&amp;$A$371</f>
        <v>T0.15Absorber</v>
      </c>
      <c r="D373" s="22"/>
      <c r="E373" s="23" t="str">
        <f t="shared" ref="E373:E402" si="20">F373&amp;G373</f>
        <v>T0.1AbsorberYJC75005</v>
      </c>
      <c r="F373" s="23" t="str">
        <f>D372&amp;$A$371</f>
        <v>T0.1Absorber</v>
      </c>
      <c r="G373" s="43" t="s">
        <v>587</v>
      </c>
      <c r="H373" s="22"/>
      <c r="I373" s="22"/>
      <c r="J373" s="44"/>
      <c r="K373" s="44"/>
      <c r="L373" s="44"/>
      <c r="M373" s="44"/>
      <c r="N373" s="37"/>
      <c r="O373" s="44"/>
      <c r="P373" s="44"/>
      <c r="Q373" s="44"/>
      <c r="R373" s="22"/>
    </row>
    <row r="374" spans="1:18">
      <c r="A374" s="22">
        <v>3</v>
      </c>
      <c r="B374" s="23" t="str">
        <f>D379&amp;$A$371</f>
        <v>T0.2Absorber</v>
      </c>
      <c r="D374" s="22"/>
      <c r="E374" s="23" t="str">
        <f t="shared" si="20"/>
        <v>T0.1AbsorberOther_Fill_ME_Remark</v>
      </c>
      <c r="F374" s="23" t="str">
        <f>D372&amp;$A$371</f>
        <v>T0.1Absorber</v>
      </c>
      <c r="G374" s="35" t="s">
        <v>527</v>
      </c>
      <c r="H374" s="22"/>
      <c r="I374" s="22"/>
      <c r="J374" s="44"/>
      <c r="K374" s="44"/>
      <c r="L374" s="44"/>
      <c r="M374" s="44"/>
      <c r="N374" s="37"/>
      <c r="O374" s="44"/>
      <c r="P374" s="44"/>
      <c r="Q374" s="44"/>
      <c r="R374" s="22"/>
    </row>
    <row r="375" spans="1:18">
      <c r="A375" s="22">
        <v>4</v>
      </c>
      <c r="B375" s="23" t="str">
        <f>D383&amp;$A$371</f>
        <v>T0.25Absorber</v>
      </c>
      <c r="D375" s="22"/>
      <c r="E375" s="23" t="str">
        <f t="shared" si="20"/>
        <v/>
      </c>
      <c r="F375" s="23"/>
      <c r="G375" s="23"/>
      <c r="H375" s="22"/>
      <c r="I375" s="22"/>
      <c r="J375" s="22"/>
      <c r="K375" s="22"/>
      <c r="L375" s="22"/>
      <c r="M375" s="22"/>
      <c r="N375" s="37"/>
      <c r="O375" s="22"/>
      <c r="P375" s="22"/>
      <c r="Q375" s="22"/>
      <c r="R375" s="22"/>
    </row>
    <row r="376" spans="1:18">
      <c r="A376" s="22">
        <v>5</v>
      </c>
      <c r="B376" s="23" t="str">
        <f>D386&amp;$A$371</f>
        <v>T0.3Absorber</v>
      </c>
      <c r="D376" s="22" t="s">
        <v>618</v>
      </c>
      <c r="E376" s="23" t="str">
        <f t="shared" si="20"/>
        <v>T0.15AbsorberG566_10</v>
      </c>
      <c r="F376" s="23" t="str">
        <f>D376&amp;$A$371</f>
        <v>T0.15Absorber</v>
      </c>
      <c r="G376" s="52" t="s">
        <v>588</v>
      </c>
      <c r="H376" s="22"/>
      <c r="I376" s="22"/>
      <c r="J376" s="48"/>
      <c r="K376" s="48"/>
      <c r="L376" s="48"/>
      <c r="M376" s="48"/>
      <c r="N376" s="37"/>
      <c r="O376" s="48"/>
      <c r="P376" s="48"/>
      <c r="Q376" s="48"/>
      <c r="R376" s="22"/>
    </row>
    <row r="377" spans="1:18">
      <c r="A377" s="22">
        <v>6</v>
      </c>
      <c r="B377" s="23" t="str">
        <f>D390&amp;$A$371</f>
        <v>T0.35Absorber</v>
      </c>
      <c r="C377" s="25"/>
      <c r="D377" s="22"/>
      <c r="E377" s="23" t="str">
        <f t="shared" si="20"/>
        <v>T0.15AbsorberOther_Fill_ME_Remark</v>
      </c>
      <c r="F377" s="23" t="str">
        <f>D376&amp;$A$371</f>
        <v>T0.15Absorber</v>
      </c>
      <c r="G377" s="35" t="s">
        <v>889</v>
      </c>
      <c r="H377" s="22"/>
      <c r="I377" s="22"/>
      <c r="J377" s="48"/>
      <c r="K377" s="48"/>
      <c r="L377" s="48"/>
      <c r="M377" s="48"/>
      <c r="N377" s="37"/>
      <c r="O377" s="48"/>
      <c r="P377" s="48"/>
      <c r="Q377" s="48"/>
      <c r="R377" s="22"/>
    </row>
    <row r="378" spans="1:18">
      <c r="A378" s="22">
        <v>7</v>
      </c>
      <c r="B378" s="23" t="str">
        <f>D394&amp;$A$371</f>
        <v>T0.55Absorber</v>
      </c>
      <c r="D378" s="22"/>
      <c r="E378" s="23" t="str">
        <f t="shared" si="20"/>
        <v/>
      </c>
      <c r="F378" s="23"/>
      <c r="G378" s="52"/>
      <c r="H378" s="22"/>
      <c r="I378" s="22"/>
      <c r="J378" s="48"/>
      <c r="K378" s="48"/>
      <c r="L378" s="48"/>
      <c r="M378" s="48"/>
      <c r="N378" s="37"/>
      <c r="O378" s="48"/>
      <c r="P378" s="48"/>
      <c r="Q378" s="48"/>
      <c r="R378" s="22"/>
    </row>
    <row r="379" spans="1:18">
      <c r="A379" s="22">
        <v>8</v>
      </c>
      <c r="B379" s="23" t="str">
        <f>D397&amp;$A$371</f>
        <v>T1.0Absorber</v>
      </c>
      <c r="D379" s="22" t="s">
        <v>1002</v>
      </c>
      <c r="E379" s="23" t="str">
        <f t="shared" si="20"/>
        <v>T0.2AbsorberG566_20</v>
      </c>
      <c r="F379" s="23" t="str">
        <f>D379&amp;$A$371</f>
        <v>T0.2Absorber</v>
      </c>
      <c r="G379" s="52" t="s">
        <v>1003</v>
      </c>
      <c r="H379" s="22"/>
      <c r="I379" s="22"/>
      <c r="J379" s="48"/>
      <c r="K379" s="48"/>
      <c r="L379" s="48"/>
      <c r="M379" s="48"/>
      <c r="N379" s="37"/>
      <c r="O379" s="48"/>
      <c r="P379" s="48"/>
      <c r="Q379" s="48"/>
      <c r="R379" s="22"/>
    </row>
    <row r="380" spans="1:18">
      <c r="A380" s="22">
        <v>9</v>
      </c>
      <c r="B380" s="23" t="str">
        <f>D400&amp;$A$371</f>
        <v>T2.5Absorber</v>
      </c>
      <c r="D380" s="22"/>
      <c r="E380" s="23" t="str">
        <f t="shared" si="20"/>
        <v>T0.2AbsorberYJC75015</v>
      </c>
      <c r="F380" s="23" t="str">
        <f>D379&amp;$A$371</f>
        <v>T0.2Absorber</v>
      </c>
      <c r="G380" s="52" t="s">
        <v>1004</v>
      </c>
      <c r="H380" s="22"/>
      <c r="I380" s="22"/>
      <c r="J380" s="48"/>
      <c r="K380" s="48"/>
      <c r="L380" s="48"/>
      <c r="M380" s="48"/>
      <c r="N380" s="37"/>
      <c r="O380" s="48"/>
      <c r="P380" s="48"/>
      <c r="Q380" s="48"/>
      <c r="R380" s="22"/>
    </row>
    <row r="381" spans="1:18">
      <c r="A381" s="22">
        <v>10</v>
      </c>
      <c r="B381" s="23" t="s">
        <v>527</v>
      </c>
      <c r="D381" s="22"/>
      <c r="E381" s="23" t="str">
        <f t="shared" si="20"/>
        <v>T0.2AbsorberOther_Fill_ME_Remark</v>
      </c>
      <c r="F381" s="23" t="str">
        <f>D379&amp;$A$371</f>
        <v>T0.2Absorber</v>
      </c>
      <c r="G381" s="35" t="s">
        <v>527</v>
      </c>
      <c r="H381" s="22"/>
      <c r="I381" s="22"/>
      <c r="J381" s="48"/>
      <c r="K381" s="48"/>
      <c r="L381" s="48"/>
      <c r="M381" s="48"/>
      <c r="N381" s="37"/>
      <c r="O381" s="48"/>
      <c r="P381" s="48"/>
      <c r="Q381" s="48"/>
      <c r="R381" s="22"/>
    </row>
    <row r="382" spans="1:18">
      <c r="A382" s="25"/>
      <c r="B382" s="24"/>
      <c r="C382" s="25"/>
      <c r="D382" s="22"/>
      <c r="E382" s="23" t="str">
        <f t="shared" si="20"/>
        <v/>
      </c>
      <c r="F382" s="23"/>
      <c r="G382" s="52"/>
      <c r="H382" s="22"/>
      <c r="I382" s="22"/>
      <c r="J382" s="48"/>
      <c r="K382" s="48"/>
      <c r="L382" s="48"/>
      <c r="M382" s="48"/>
      <c r="N382" s="37"/>
      <c r="O382" s="48"/>
      <c r="P382" s="48"/>
      <c r="Q382" s="48"/>
      <c r="R382" s="22"/>
    </row>
    <row r="383" spans="1:18">
      <c r="A383" s="25"/>
      <c r="B383" s="24"/>
      <c r="D383" s="22" t="s">
        <v>625</v>
      </c>
      <c r="E383" s="23" t="str">
        <f t="shared" si="20"/>
        <v>T0.25AbsorberG566_25</v>
      </c>
      <c r="F383" s="23" t="str">
        <f>D383&amp;$A$371</f>
        <v>T0.25Absorber</v>
      </c>
      <c r="G383" s="52" t="s">
        <v>589</v>
      </c>
      <c r="H383" s="22"/>
      <c r="I383" s="22"/>
      <c r="J383" s="48"/>
      <c r="K383" s="48"/>
      <c r="L383" s="48"/>
      <c r="M383" s="48"/>
      <c r="N383" s="37"/>
      <c r="O383" s="48"/>
      <c r="P383" s="48"/>
      <c r="Q383" s="48"/>
      <c r="R383" s="22"/>
    </row>
    <row r="384" spans="1:18">
      <c r="A384" s="25"/>
      <c r="B384" s="24"/>
      <c r="D384" s="22"/>
      <c r="E384" s="23" t="str">
        <f t="shared" si="20"/>
        <v>T0.25AbsorberOther_Fill_ME_Remark</v>
      </c>
      <c r="F384" s="23" t="str">
        <f>D383&amp;$A$371</f>
        <v>T0.25Absorber</v>
      </c>
      <c r="G384" s="35" t="s">
        <v>527</v>
      </c>
      <c r="H384" s="22"/>
      <c r="I384" s="22"/>
      <c r="J384" s="48"/>
      <c r="K384" s="48"/>
      <c r="L384" s="48"/>
      <c r="M384" s="48"/>
      <c r="N384" s="37"/>
      <c r="O384" s="48"/>
      <c r="P384" s="48"/>
      <c r="Q384" s="48"/>
      <c r="R384" s="22"/>
    </row>
    <row r="385" spans="1:18">
      <c r="C385" s="25"/>
      <c r="D385" s="22"/>
      <c r="E385" s="23" t="str">
        <f t="shared" si="20"/>
        <v/>
      </c>
      <c r="F385" s="23"/>
      <c r="G385" s="52"/>
      <c r="H385" s="22"/>
      <c r="I385" s="22"/>
      <c r="J385" s="48"/>
      <c r="K385" s="48"/>
      <c r="L385" s="48"/>
      <c r="M385" s="48"/>
      <c r="N385" s="37"/>
      <c r="O385" s="48"/>
      <c r="P385" s="48"/>
      <c r="Q385" s="48"/>
      <c r="R385" s="22"/>
    </row>
    <row r="386" spans="1:18">
      <c r="D386" s="22" t="s">
        <v>540</v>
      </c>
      <c r="E386" s="23" t="str">
        <f t="shared" si="20"/>
        <v>T0.3Absorber3M_AB5030</v>
      </c>
      <c r="F386" s="23" t="str">
        <f>D386&amp;$A$371</f>
        <v>T0.3Absorber</v>
      </c>
      <c r="G386" s="52" t="s">
        <v>1005</v>
      </c>
      <c r="H386" s="22"/>
      <c r="I386" s="22"/>
      <c r="J386" s="48"/>
      <c r="K386" s="48"/>
      <c r="L386" s="48"/>
      <c r="M386" s="48"/>
      <c r="N386" s="37"/>
      <c r="O386" s="48"/>
      <c r="P386" s="48"/>
      <c r="Q386" s="48"/>
      <c r="R386" s="22"/>
    </row>
    <row r="387" spans="1:18">
      <c r="C387" s="25"/>
      <c r="D387" s="22"/>
      <c r="E387" s="23" t="str">
        <f t="shared" si="20"/>
        <v>T0.3AbsorberYJC75025</v>
      </c>
      <c r="F387" s="23" t="str">
        <f>D386&amp;$A$371</f>
        <v>T0.3Absorber</v>
      </c>
      <c r="G387" s="52" t="s">
        <v>1006</v>
      </c>
      <c r="H387" s="22"/>
      <c r="I387" s="22"/>
      <c r="J387" s="48"/>
      <c r="K387" s="48"/>
      <c r="L387" s="48"/>
      <c r="M387" s="48"/>
      <c r="N387" s="37"/>
      <c r="O387" s="48"/>
      <c r="P387" s="48"/>
      <c r="Q387" s="48"/>
      <c r="R387" s="22"/>
    </row>
    <row r="388" spans="1:18">
      <c r="C388" s="27"/>
      <c r="D388" s="22"/>
      <c r="E388" s="23" t="str">
        <f t="shared" si="20"/>
        <v>T0.3AbsorberOther_Fill_ME_Remark</v>
      </c>
      <c r="F388" s="23" t="str">
        <f>D386&amp;$A$371</f>
        <v>T0.3Absorber</v>
      </c>
      <c r="G388" s="35" t="s">
        <v>527</v>
      </c>
      <c r="H388" s="22"/>
      <c r="I388" s="22"/>
      <c r="J388" s="48"/>
      <c r="K388" s="48"/>
      <c r="L388" s="48"/>
      <c r="M388" s="48"/>
      <c r="N388" s="37"/>
      <c r="O388" s="48"/>
      <c r="P388" s="48"/>
      <c r="Q388" s="48"/>
      <c r="R388" s="22"/>
    </row>
    <row r="389" spans="1:18">
      <c r="A389" s="25"/>
      <c r="B389" s="24"/>
      <c r="C389" s="24"/>
      <c r="D389" s="22"/>
      <c r="E389" s="23" t="str">
        <f t="shared" si="20"/>
        <v/>
      </c>
      <c r="F389" s="23"/>
      <c r="G389" s="52"/>
      <c r="H389" s="22"/>
      <c r="I389" s="22"/>
      <c r="J389" s="48"/>
      <c r="K389" s="48"/>
      <c r="L389" s="48"/>
      <c r="M389" s="48"/>
      <c r="N389" s="37"/>
      <c r="O389" s="48"/>
      <c r="P389" s="48"/>
      <c r="Q389" s="48"/>
      <c r="R389" s="22"/>
    </row>
    <row r="390" spans="1:18">
      <c r="C390" s="24"/>
      <c r="D390" s="22" t="s">
        <v>737</v>
      </c>
      <c r="E390" s="23" t="str">
        <f t="shared" si="20"/>
        <v>T0.35AbsorberG566_30</v>
      </c>
      <c r="F390" s="23" t="str">
        <f>D390&amp;$A$371</f>
        <v>T0.35Absorber</v>
      </c>
      <c r="G390" s="52" t="s">
        <v>590</v>
      </c>
      <c r="H390" s="22"/>
      <c r="I390" s="22"/>
      <c r="J390" s="48"/>
      <c r="K390" s="48"/>
      <c r="L390" s="48"/>
      <c r="M390" s="48"/>
      <c r="N390" s="37"/>
      <c r="O390" s="48"/>
      <c r="P390" s="48"/>
      <c r="Q390" s="48"/>
      <c r="R390" s="22"/>
    </row>
    <row r="391" spans="1:18">
      <c r="C391" s="24"/>
      <c r="D391" s="22"/>
      <c r="E391" s="23" t="str">
        <f t="shared" si="20"/>
        <v>T0.35Absorber4030</v>
      </c>
      <c r="F391" s="23" t="str">
        <f>D390&amp;$A$371</f>
        <v>T0.35Absorber</v>
      </c>
      <c r="G391" s="52">
        <v>4030</v>
      </c>
      <c r="H391" s="22"/>
      <c r="I391" s="22"/>
      <c r="J391" s="48"/>
      <c r="K391" s="48"/>
      <c r="L391" s="48"/>
      <c r="M391" s="48"/>
      <c r="N391" s="37"/>
      <c r="O391" s="48"/>
      <c r="P391" s="48"/>
      <c r="Q391" s="48"/>
      <c r="R391" s="22"/>
    </row>
    <row r="392" spans="1:18">
      <c r="C392" s="24"/>
      <c r="D392" s="22"/>
      <c r="E392" s="23" t="str">
        <f t="shared" si="20"/>
        <v>T0.35AbsorberOther_Fill_ME_Remark</v>
      </c>
      <c r="F392" s="23" t="str">
        <f>D390&amp;$A$371</f>
        <v>T0.35Absorber</v>
      </c>
      <c r="G392" s="35" t="s">
        <v>859</v>
      </c>
      <c r="H392" s="22"/>
      <c r="I392" s="22"/>
      <c r="J392" s="48"/>
      <c r="K392" s="48"/>
      <c r="L392" s="48"/>
      <c r="M392" s="48"/>
      <c r="N392" s="37"/>
      <c r="O392" s="48"/>
      <c r="P392" s="48"/>
      <c r="Q392" s="48"/>
      <c r="R392" s="22"/>
    </row>
    <row r="393" spans="1:18">
      <c r="C393" s="24"/>
      <c r="D393" s="22"/>
      <c r="E393" s="23" t="str">
        <f t="shared" si="20"/>
        <v/>
      </c>
      <c r="F393" s="23"/>
      <c r="G393" s="52"/>
      <c r="H393" s="22"/>
      <c r="I393" s="22"/>
      <c r="J393" s="48"/>
      <c r="K393" s="48"/>
      <c r="L393" s="48"/>
      <c r="M393" s="48"/>
      <c r="N393" s="37"/>
      <c r="O393" s="48"/>
      <c r="P393" s="48"/>
      <c r="Q393" s="48"/>
      <c r="R393" s="22"/>
    </row>
    <row r="394" spans="1:18">
      <c r="A394" s="25"/>
      <c r="B394" s="24"/>
      <c r="C394" s="24"/>
      <c r="D394" s="22" t="s">
        <v>1007</v>
      </c>
      <c r="E394" s="23" t="str">
        <f t="shared" si="20"/>
        <v>T0.55AbsorberG566_50</v>
      </c>
      <c r="F394" s="23" t="str">
        <f>D394&amp;$A$371</f>
        <v>T0.55Absorber</v>
      </c>
      <c r="G394" s="52" t="s">
        <v>1008</v>
      </c>
      <c r="H394" s="22"/>
      <c r="I394" s="22"/>
      <c r="J394" s="48"/>
      <c r="K394" s="48"/>
      <c r="L394" s="48"/>
      <c r="M394" s="48"/>
      <c r="N394" s="37"/>
      <c r="O394" s="48"/>
      <c r="P394" s="48"/>
      <c r="Q394" s="48"/>
      <c r="R394" s="22"/>
    </row>
    <row r="395" spans="1:18">
      <c r="C395" s="24"/>
      <c r="D395" s="22"/>
      <c r="E395" s="23" t="str">
        <f t="shared" si="20"/>
        <v>T0.55AbsorberOther_Fill_ME_Remark</v>
      </c>
      <c r="F395" s="23" t="str">
        <f>D394&amp;$A$371</f>
        <v>T0.55Absorber</v>
      </c>
      <c r="G395" s="35" t="s">
        <v>527</v>
      </c>
      <c r="H395" s="22"/>
      <c r="I395" s="22"/>
      <c r="J395" s="48"/>
      <c r="K395" s="48"/>
      <c r="L395" s="48"/>
      <c r="M395" s="48"/>
      <c r="N395" s="37"/>
      <c r="O395" s="48"/>
      <c r="P395" s="48"/>
      <c r="Q395" s="48"/>
      <c r="R395" s="22"/>
    </row>
    <row r="396" spans="1:18">
      <c r="C396" s="24"/>
      <c r="D396" s="22"/>
      <c r="E396" s="23" t="str">
        <f t="shared" si="20"/>
        <v/>
      </c>
      <c r="F396" s="23"/>
      <c r="G396" s="52"/>
      <c r="H396" s="22"/>
      <c r="I396" s="22"/>
      <c r="J396" s="48"/>
      <c r="K396" s="48"/>
      <c r="L396" s="48"/>
      <c r="M396" s="48"/>
      <c r="N396" s="37"/>
      <c r="O396" s="48"/>
      <c r="P396" s="48"/>
      <c r="Q396" s="48"/>
      <c r="R396" s="22"/>
    </row>
    <row r="397" spans="1:18">
      <c r="C397" s="24"/>
      <c r="D397" s="22" t="s">
        <v>537</v>
      </c>
      <c r="E397" s="23" t="str">
        <f t="shared" si="20"/>
        <v>T1.0AbsorberYJC75100</v>
      </c>
      <c r="F397" s="23" t="str">
        <f>D397&amp;$A$371</f>
        <v>T1.0Absorber</v>
      </c>
      <c r="G397" s="52" t="s">
        <v>591</v>
      </c>
      <c r="H397" s="22"/>
      <c r="I397" s="22"/>
      <c r="J397" s="48"/>
      <c r="K397" s="48"/>
      <c r="L397" s="48"/>
      <c r="M397" s="48"/>
      <c r="N397" s="37"/>
      <c r="O397" s="48"/>
      <c r="P397" s="48"/>
      <c r="Q397" s="48"/>
      <c r="R397" s="22"/>
    </row>
    <row r="398" spans="1:18">
      <c r="C398" s="24"/>
      <c r="D398" s="22"/>
      <c r="E398" s="23" t="str">
        <f t="shared" si="20"/>
        <v>T1.0AbsorberOther_Fill_ME_Remark</v>
      </c>
      <c r="F398" s="23" t="str">
        <f>D397&amp;$A$371</f>
        <v>T1.0Absorber</v>
      </c>
      <c r="G398" s="35" t="s">
        <v>527</v>
      </c>
      <c r="H398" s="22"/>
      <c r="I398" s="22"/>
      <c r="J398" s="48"/>
      <c r="K398" s="48"/>
      <c r="L398" s="48"/>
      <c r="M398" s="48"/>
      <c r="N398" s="37"/>
      <c r="O398" s="48"/>
      <c r="P398" s="48"/>
      <c r="Q398" s="48"/>
      <c r="R398" s="22"/>
    </row>
    <row r="399" spans="1:18">
      <c r="A399" s="25"/>
      <c r="B399" s="24"/>
      <c r="C399" s="24"/>
      <c r="D399" s="22"/>
      <c r="E399" s="23" t="str">
        <f t="shared" si="20"/>
        <v/>
      </c>
      <c r="F399" s="23"/>
      <c r="G399" s="52"/>
      <c r="H399" s="22"/>
      <c r="I399" s="22"/>
      <c r="J399" s="48"/>
      <c r="K399" s="48"/>
      <c r="L399" s="48"/>
      <c r="M399" s="48"/>
      <c r="N399" s="37"/>
      <c r="O399" s="48"/>
      <c r="P399" s="48"/>
      <c r="Q399" s="48"/>
      <c r="R399" s="22"/>
    </row>
    <row r="400" spans="1:18">
      <c r="C400" s="24"/>
      <c r="D400" s="22" t="s">
        <v>906</v>
      </c>
      <c r="E400" s="23" t="str">
        <f t="shared" si="20"/>
        <v>T2.5AbsorberYJC75200</v>
      </c>
      <c r="F400" s="23" t="str">
        <f>D400&amp;$A$371</f>
        <v>T2.5Absorber</v>
      </c>
      <c r="G400" s="52" t="s">
        <v>592</v>
      </c>
      <c r="H400" s="22"/>
      <c r="I400" s="22"/>
      <c r="J400" s="48"/>
      <c r="K400" s="48"/>
      <c r="L400" s="48"/>
      <c r="M400" s="48"/>
      <c r="N400" s="37"/>
      <c r="O400" s="48"/>
      <c r="P400" s="48"/>
      <c r="Q400" s="48"/>
      <c r="R400" s="22"/>
    </row>
    <row r="401" spans="1:18">
      <c r="C401" s="25"/>
      <c r="D401" s="22"/>
      <c r="E401" s="23" t="str">
        <f t="shared" si="20"/>
        <v>T2.5AbsorberOther_Fill_ME_Remark</v>
      </c>
      <c r="F401" s="23" t="str">
        <f>D400&amp;$A$371</f>
        <v>T2.5Absorber</v>
      </c>
      <c r="G401" s="35" t="s">
        <v>527</v>
      </c>
      <c r="H401" s="22"/>
      <c r="I401" s="22"/>
      <c r="J401" s="48"/>
      <c r="K401" s="48"/>
      <c r="L401" s="48"/>
      <c r="M401" s="48"/>
      <c r="N401" s="37"/>
      <c r="O401" s="48"/>
      <c r="P401" s="48"/>
      <c r="Q401" s="48"/>
      <c r="R401" s="22"/>
    </row>
    <row r="402" spans="1:18">
      <c r="A402" s="25"/>
      <c r="B402" s="24"/>
      <c r="C402" s="25"/>
      <c r="D402" s="22"/>
      <c r="E402" s="23" t="str">
        <f t="shared" si="20"/>
        <v/>
      </c>
      <c r="F402" s="23"/>
      <c r="G402" s="52"/>
      <c r="H402" s="22"/>
      <c r="I402" s="22"/>
      <c r="J402" s="48"/>
      <c r="K402" s="48"/>
      <c r="L402" s="48"/>
      <c r="M402" s="48"/>
      <c r="N402" s="37"/>
      <c r="O402" s="48"/>
      <c r="P402" s="48"/>
      <c r="Q402" s="48"/>
      <c r="R402" s="22"/>
    </row>
    <row r="403" spans="1:18">
      <c r="C403" s="25"/>
      <c r="H403" s="22"/>
      <c r="I403" s="22"/>
      <c r="J403" s="22"/>
      <c r="K403" s="22"/>
      <c r="L403" s="22"/>
      <c r="M403" s="22"/>
      <c r="N403" s="37"/>
      <c r="O403" s="22"/>
      <c r="P403" s="22"/>
      <c r="Q403" s="22"/>
      <c r="R403" s="22"/>
    </row>
    <row r="404" spans="1:18">
      <c r="A404" s="24"/>
      <c r="B404" s="24"/>
      <c r="C404" s="25"/>
      <c r="D404" s="26"/>
      <c r="E404" s="27"/>
      <c r="F404" s="24"/>
      <c r="G404" s="31"/>
      <c r="H404" s="22"/>
      <c r="I404" s="22"/>
      <c r="J404" s="22"/>
      <c r="K404" s="22"/>
      <c r="L404" s="155"/>
      <c r="M404" s="155"/>
      <c r="N404" s="37"/>
      <c r="O404" s="22"/>
      <c r="P404" s="22"/>
      <c r="Q404" s="22"/>
      <c r="R404" s="22"/>
    </row>
    <row r="405" spans="1:18">
      <c r="A405" s="29" t="s">
        <v>698</v>
      </c>
      <c r="B405" s="30" t="s">
        <v>495</v>
      </c>
      <c r="C405" s="25"/>
      <c r="D405" s="29" t="s">
        <v>101</v>
      </c>
      <c r="E405" s="29" t="s">
        <v>867</v>
      </c>
      <c r="F405" s="30" t="s">
        <v>698</v>
      </c>
      <c r="G405" s="31" t="s">
        <v>495</v>
      </c>
      <c r="H405" s="22"/>
      <c r="I405" s="22"/>
      <c r="J405" s="33"/>
      <c r="K405" s="33"/>
      <c r="L405" s="33"/>
      <c r="M405" s="33"/>
      <c r="N405" s="37"/>
      <c r="O405" s="33"/>
      <c r="P405" s="33"/>
      <c r="Q405" s="33"/>
      <c r="R405" s="33"/>
    </row>
    <row r="406" spans="1:18">
      <c r="A406" s="22">
        <v>1</v>
      </c>
      <c r="B406" s="158" t="str">
        <f>F406</f>
        <v>Non_UL導電布灰</v>
      </c>
      <c r="C406" s="25"/>
      <c r="D406" s="22" t="s">
        <v>1009</v>
      </c>
      <c r="E406" s="23" t="str">
        <f t="shared" ref="E406" si="21">F406&amp;G406</f>
        <v>Non_UL導電布灰T0.085</v>
      </c>
      <c r="F406" s="35" t="s">
        <v>1010</v>
      </c>
      <c r="G406" s="23" t="s">
        <v>1009</v>
      </c>
      <c r="H406" s="22"/>
      <c r="I406" s="22"/>
      <c r="J406" s="88"/>
      <c r="K406" s="87"/>
      <c r="L406" s="88"/>
      <c r="M406" s="89"/>
      <c r="N406" s="37"/>
      <c r="O406" s="87"/>
      <c r="P406" s="87"/>
      <c r="Q406" s="87"/>
      <c r="R406" s="87"/>
    </row>
    <row r="407" spans="1:18">
      <c r="A407" s="22">
        <v>2</v>
      </c>
      <c r="B407" s="158" t="str">
        <f>F407</f>
        <v>UL導電布灰</v>
      </c>
      <c r="C407" s="25"/>
      <c r="D407" s="22" t="s">
        <v>960</v>
      </c>
      <c r="E407" s="23" t="str">
        <f>F407&amp;G407</f>
        <v>UL導電布灰T0.13</v>
      </c>
      <c r="F407" s="35" t="s">
        <v>1011</v>
      </c>
      <c r="G407" s="23" t="s">
        <v>960</v>
      </c>
      <c r="H407" s="22"/>
      <c r="I407" s="22"/>
      <c r="J407" s="88"/>
      <c r="K407" s="87"/>
      <c r="L407" s="88"/>
      <c r="M407" s="88"/>
      <c r="N407" s="37"/>
      <c r="O407" s="87"/>
      <c r="P407" s="87"/>
      <c r="Q407" s="87"/>
      <c r="R407" s="87"/>
    </row>
    <row r="408" spans="1:18">
      <c r="A408" s="22">
        <v>3</v>
      </c>
      <c r="B408" s="158" t="str">
        <f>F408</f>
        <v>Non_UL導電布灰</v>
      </c>
      <c r="D408" s="22"/>
      <c r="E408" s="23" t="str">
        <f t="shared" ref="E408:E423" si="22">F408&amp;G408</f>
        <v>Non_UL導電布灰T0.13</v>
      </c>
      <c r="F408" s="35" t="s">
        <v>623</v>
      </c>
      <c r="G408" s="23" t="s">
        <v>562</v>
      </c>
      <c r="H408" s="22"/>
      <c r="I408" s="22"/>
      <c r="J408" s="88"/>
      <c r="K408" s="87"/>
      <c r="L408" s="88"/>
      <c r="M408" s="88"/>
      <c r="N408" s="37"/>
      <c r="O408" s="87"/>
      <c r="P408" s="87"/>
      <c r="Q408" s="87"/>
      <c r="R408" s="87"/>
    </row>
    <row r="409" spans="1:18">
      <c r="A409" s="22">
        <v>4</v>
      </c>
      <c r="B409" s="158" t="str">
        <f>F409</f>
        <v>UL導電布黑</v>
      </c>
      <c r="C409" s="25"/>
      <c r="D409" s="22"/>
      <c r="E409" s="23" t="str">
        <f t="shared" si="22"/>
        <v>UL導電布黑T0.13</v>
      </c>
      <c r="F409" s="43" t="s">
        <v>622</v>
      </c>
      <c r="G409" s="23" t="s">
        <v>562</v>
      </c>
      <c r="H409" s="22"/>
      <c r="I409" s="22"/>
      <c r="J409" s="88"/>
      <c r="K409" s="87"/>
      <c r="L409" s="88"/>
      <c r="M409" s="88"/>
      <c r="N409" s="37"/>
      <c r="O409" s="87"/>
      <c r="P409" s="87"/>
      <c r="Q409" s="87"/>
      <c r="R409" s="87"/>
    </row>
    <row r="410" spans="1:18">
      <c r="A410" s="22">
        <v>5</v>
      </c>
      <c r="B410" s="35" t="str">
        <f>F411</f>
        <v>Other_Fill_ME_Remark</v>
      </c>
      <c r="C410" s="25"/>
      <c r="D410" s="22"/>
      <c r="E410" s="23" t="str">
        <f t="shared" si="22"/>
        <v>Non_UL導電布黑T0.13</v>
      </c>
      <c r="F410" s="43" t="s">
        <v>624</v>
      </c>
      <c r="G410" s="23" t="s">
        <v>562</v>
      </c>
      <c r="H410" s="22"/>
      <c r="I410" s="22"/>
      <c r="J410" s="88"/>
      <c r="K410" s="87"/>
      <c r="L410" s="88"/>
      <c r="M410" s="88"/>
      <c r="N410" s="37"/>
      <c r="O410" s="87"/>
      <c r="P410" s="87"/>
      <c r="Q410" s="87"/>
      <c r="R410" s="87"/>
    </row>
    <row r="411" spans="1:18">
      <c r="A411" s="22">
        <v>6</v>
      </c>
      <c r="B411" s="35"/>
      <c r="C411" s="25"/>
      <c r="D411" s="22"/>
      <c r="E411" s="23" t="str">
        <f t="shared" si="22"/>
        <v>Other_Fill_ME_Remark</v>
      </c>
      <c r="F411" s="35" t="s">
        <v>527</v>
      </c>
      <c r="G411" s="35"/>
      <c r="H411" s="22"/>
      <c r="I411" s="22"/>
      <c r="J411" s="88"/>
      <c r="K411" s="87"/>
      <c r="L411" s="88"/>
      <c r="M411" s="88"/>
      <c r="N411" s="37"/>
      <c r="O411" s="87"/>
      <c r="P411" s="87"/>
      <c r="Q411" s="87"/>
      <c r="R411" s="87"/>
    </row>
    <row r="412" spans="1:18">
      <c r="A412" s="26"/>
      <c r="B412" s="24"/>
      <c r="C412" s="25"/>
      <c r="D412" s="22"/>
      <c r="E412" s="23" t="str">
        <f t="shared" si="22"/>
        <v>00</v>
      </c>
      <c r="F412" s="23">
        <v>0</v>
      </c>
      <c r="G412" s="43">
        <v>0</v>
      </c>
      <c r="H412" s="22"/>
      <c r="I412" s="22"/>
      <c r="J412" s="88"/>
      <c r="K412" s="87"/>
      <c r="L412" s="88"/>
      <c r="M412" s="88"/>
      <c r="N412" s="37"/>
      <c r="O412" s="87"/>
      <c r="P412" s="87"/>
      <c r="Q412" s="87"/>
      <c r="R412" s="87"/>
    </row>
    <row r="413" spans="1:18">
      <c r="A413" s="26"/>
      <c r="B413" s="24"/>
      <c r="C413" s="25"/>
      <c r="D413" s="22"/>
      <c r="E413" s="23" t="str">
        <f t="shared" si="22"/>
        <v/>
      </c>
      <c r="F413" s="23"/>
      <c r="G413" s="35"/>
      <c r="H413" s="22"/>
      <c r="I413" s="22"/>
      <c r="J413" s="88"/>
      <c r="K413" s="87"/>
      <c r="L413" s="88"/>
      <c r="M413" s="88"/>
      <c r="N413" s="37"/>
      <c r="O413" s="87"/>
      <c r="P413" s="87"/>
      <c r="Q413" s="87"/>
      <c r="R413" s="87"/>
    </row>
    <row r="414" spans="1:18">
      <c r="A414" s="26"/>
      <c r="B414" s="24"/>
      <c r="C414" s="25"/>
      <c r="D414" s="22"/>
      <c r="E414" s="23" t="str">
        <f t="shared" si="22"/>
        <v/>
      </c>
      <c r="F414" s="23"/>
      <c r="G414" s="35"/>
      <c r="H414" s="22"/>
      <c r="I414" s="22"/>
      <c r="J414" s="90"/>
      <c r="K414" s="87"/>
      <c r="L414" s="88"/>
      <c r="M414" s="88"/>
      <c r="N414" s="37"/>
      <c r="O414" s="87"/>
      <c r="P414" s="87"/>
      <c r="Q414" s="87"/>
      <c r="R414" s="87"/>
    </row>
    <row r="415" spans="1:18">
      <c r="A415" s="26"/>
      <c r="B415" s="24"/>
      <c r="C415" s="25"/>
      <c r="D415" s="22"/>
      <c r="E415" s="23" t="str">
        <f t="shared" si="22"/>
        <v/>
      </c>
      <c r="F415" s="23"/>
      <c r="G415" s="35"/>
      <c r="H415" s="22"/>
      <c r="I415" s="22"/>
      <c r="J415" s="88"/>
      <c r="K415" s="87"/>
      <c r="L415" s="88"/>
      <c r="M415" s="88"/>
      <c r="N415" s="37"/>
      <c r="O415" s="87"/>
      <c r="P415" s="87"/>
      <c r="Q415" s="87"/>
      <c r="R415" s="87"/>
    </row>
    <row r="416" spans="1:18">
      <c r="A416" s="26"/>
      <c r="B416" s="24"/>
      <c r="C416" s="25"/>
      <c r="D416" s="22"/>
      <c r="E416" s="23" t="str">
        <f t="shared" si="22"/>
        <v/>
      </c>
      <c r="F416" s="23"/>
      <c r="G416" s="35"/>
      <c r="H416" s="22"/>
      <c r="I416" s="22"/>
      <c r="J416" s="88"/>
      <c r="K416" s="87"/>
      <c r="L416" s="88"/>
      <c r="M416" s="88"/>
      <c r="N416" s="37"/>
      <c r="O416" s="87"/>
      <c r="P416" s="87"/>
      <c r="Q416" s="87"/>
      <c r="R416" s="87"/>
    </row>
    <row r="417" spans="1:18">
      <c r="A417" s="26"/>
      <c r="B417" s="24"/>
      <c r="C417" s="25"/>
      <c r="D417" s="22"/>
      <c r="E417" s="23" t="str">
        <f t="shared" si="22"/>
        <v/>
      </c>
      <c r="F417" s="23"/>
      <c r="G417" s="43"/>
      <c r="H417" s="22"/>
      <c r="I417" s="22"/>
      <c r="J417" s="88"/>
      <c r="K417" s="87"/>
      <c r="L417" s="88"/>
      <c r="M417" s="88"/>
      <c r="N417" s="37"/>
      <c r="O417" s="87"/>
      <c r="P417" s="87"/>
      <c r="Q417" s="87"/>
      <c r="R417" s="87"/>
    </row>
    <row r="418" spans="1:18">
      <c r="A418" s="26"/>
      <c r="B418" s="24"/>
      <c r="C418" s="25"/>
      <c r="D418" s="22"/>
      <c r="E418" s="23" t="str">
        <f t="shared" si="22"/>
        <v/>
      </c>
      <c r="F418" s="23"/>
      <c r="G418" s="43"/>
      <c r="H418" s="22"/>
      <c r="I418" s="22"/>
      <c r="J418" s="88"/>
      <c r="K418" s="87"/>
      <c r="L418" s="88"/>
      <c r="M418" s="88"/>
      <c r="N418" s="37"/>
      <c r="O418" s="87"/>
      <c r="P418" s="87"/>
      <c r="Q418" s="87"/>
      <c r="R418" s="87"/>
    </row>
    <row r="419" spans="1:18">
      <c r="A419" s="26"/>
      <c r="B419" s="24"/>
      <c r="C419" s="25"/>
      <c r="D419" s="22"/>
      <c r="E419" s="23" t="str">
        <f t="shared" si="22"/>
        <v/>
      </c>
      <c r="F419" s="23"/>
      <c r="G419" s="35"/>
      <c r="H419" s="22"/>
      <c r="I419" s="22"/>
      <c r="J419" s="88"/>
      <c r="K419" s="87"/>
      <c r="L419" s="88"/>
      <c r="M419" s="88"/>
      <c r="N419" s="37"/>
      <c r="O419" s="87"/>
      <c r="P419" s="87"/>
      <c r="Q419" s="87"/>
      <c r="R419" s="87"/>
    </row>
    <row r="420" spans="1:18">
      <c r="A420" s="26"/>
      <c r="B420" s="24"/>
      <c r="C420" s="25"/>
      <c r="D420" s="22"/>
      <c r="E420" s="23" t="str">
        <f t="shared" si="22"/>
        <v/>
      </c>
      <c r="F420" s="23"/>
      <c r="G420" s="35"/>
      <c r="H420" s="22"/>
      <c r="I420" s="22"/>
      <c r="J420" s="90"/>
      <c r="K420" s="87"/>
      <c r="L420" s="88"/>
      <c r="M420" s="88"/>
      <c r="N420" s="37"/>
      <c r="O420" s="87"/>
      <c r="P420" s="87"/>
      <c r="Q420" s="87"/>
      <c r="R420" s="87"/>
    </row>
    <row r="421" spans="1:18">
      <c r="A421" s="26"/>
      <c r="B421" s="24"/>
      <c r="C421" s="25"/>
      <c r="D421" s="22"/>
      <c r="E421" s="23" t="str">
        <f t="shared" si="22"/>
        <v/>
      </c>
      <c r="F421" s="23"/>
      <c r="G421" s="35"/>
      <c r="H421" s="22"/>
      <c r="I421" s="22"/>
      <c r="J421" s="90"/>
      <c r="K421" s="87"/>
      <c r="L421" s="88"/>
      <c r="M421" s="88"/>
      <c r="N421" s="37"/>
      <c r="O421" s="87"/>
      <c r="P421" s="87"/>
      <c r="Q421" s="87"/>
      <c r="R421" s="87"/>
    </row>
    <row r="422" spans="1:18">
      <c r="A422" s="26"/>
      <c r="B422" s="24"/>
      <c r="C422" s="27"/>
      <c r="D422" s="22"/>
      <c r="E422" s="23" t="str">
        <f t="shared" si="22"/>
        <v/>
      </c>
      <c r="F422" s="23"/>
      <c r="G422" s="35"/>
      <c r="H422" s="22"/>
      <c r="I422" s="22"/>
      <c r="J422" s="90"/>
      <c r="K422" s="87"/>
      <c r="L422" s="88"/>
      <c r="M422" s="88"/>
      <c r="N422" s="37"/>
      <c r="O422" s="87"/>
      <c r="P422" s="87"/>
      <c r="Q422" s="87"/>
      <c r="R422" s="87"/>
    </row>
    <row r="423" spans="1:18">
      <c r="A423" s="26"/>
      <c r="B423" s="24"/>
      <c r="C423" s="27"/>
      <c r="D423" s="22"/>
      <c r="E423" s="23" t="str">
        <f t="shared" si="22"/>
        <v/>
      </c>
      <c r="F423" s="23"/>
      <c r="G423" s="35"/>
      <c r="H423" s="22"/>
      <c r="I423" s="22"/>
      <c r="J423" s="90"/>
      <c r="K423" s="87"/>
      <c r="L423" s="88"/>
      <c r="M423" s="88"/>
      <c r="N423" s="37"/>
      <c r="O423" s="87"/>
      <c r="P423" s="87"/>
      <c r="Q423" s="87"/>
      <c r="R423" s="87"/>
    </row>
    <row r="424" spans="1:18">
      <c r="C424" s="24"/>
      <c r="H424" s="22"/>
      <c r="I424" s="22"/>
      <c r="J424" s="22"/>
      <c r="K424" s="22"/>
      <c r="L424" s="22"/>
      <c r="M424" s="22"/>
      <c r="N424" s="37"/>
      <c r="O424" s="22"/>
      <c r="P424" s="22"/>
      <c r="Q424" s="22"/>
      <c r="R424" s="22"/>
    </row>
    <row r="425" spans="1:18">
      <c r="A425" s="24"/>
      <c r="B425" s="24"/>
      <c r="C425" s="25"/>
      <c r="D425" s="26"/>
      <c r="E425" s="27"/>
      <c r="F425" s="24"/>
      <c r="G425" s="31"/>
      <c r="H425" s="22"/>
      <c r="I425" s="22"/>
      <c r="J425" s="22"/>
      <c r="K425" s="22"/>
      <c r="L425" s="155"/>
      <c r="M425" s="155"/>
      <c r="N425" s="37"/>
      <c r="O425" s="22"/>
      <c r="P425" s="22"/>
      <c r="Q425" s="22"/>
      <c r="R425" s="22"/>
    </row>
    <row r="426" spans="1:18">
      <c r="A426" s="29" t="s">
        <v>1012</v>
      </c>
      <c r="B426" s="30" t="s">
        <v>495</v>
      </c>
      <c r="C426" s="25"/>
      <c r="D426" s="29" t="s">
        <v>101</v>
      </c>
      <c r="E426" s="29" t="s">
        <v>867</v>
      </c>
      <c r="F426" s="30" t="s">
        <v>1012</v>
      </c>
      <c r="G426" s="31" t="s">
        <v>495</v>
      </c>
      <c r="H426" s="22"/>
      <c r="I426" s="22"/>
      <c r="J426" s="33"/>
      <c r="K426" s="33"/>
      <c r="L426" s="33"/>
      <c r="M426" s="33"/>
      <c r="N426" s="37"/>
      <c r="O426" s="33"/>
      <c r="P426" s="33"/>
      <c r="Q426" s="33"/>
      <c r="R426" s="33"/>
    </row>
    <row r="427" spans="1:18">
      <c r="A427" s="22">
        <v>1</v>
      </c>
      <c r="B427" s="43" t="s">
        <v>626</v>
      </c>
      <c r="C427" s="25"/>
      <c r="D427" s="232">
        <v>1</v>
      </c>
      <c r="E427" s="233" t="str">
        <f t="shared" ref="E427:E444" si="23">F427&amp;G427</f>
        <v>ULGasket灰一般厚度</v>
      </c>
      <c r="F427" s="234" t="s">
        <v>626</v>
      </c>
      <c r="G427" s="234" t="s">
        <v>1342</v>
      </c>
      <c r="H427" s="22"/>
      <c r="I427" s="22"/>
      <c r="J427" s="88"/>
      <c r="K427" s="87"/>
      <c r="L427" s="88"/>
      <c r="M427" s="89"/>
      <c r="N427" s="37"/>
      <c r="O427" s="87"/>
      <c r="P427" s="87"/>
      <c r="Q427" s="87"/>
      <c r="R427" s="87"/>
    </row>
    <row r="428" spans="1:18">
      <c r="A428" s="22">
        <v>2</v>
      </c>
      <c r="B428" s="43" t="s">
        <v>630</v>
      </c>
      <c r="C428" s="25"/>
      <c r="D428" s="232">
        <v>2</v>
      </c>
      <c r="E428" s="233" t="str">
        <f t="shared" si="23"/>
        <v>Non_ULGasket灰一般厚度</v>
      </c>
      <c r="F428" s="234" t="s">
        <v>630</v>
      </c>
      <c r="G428" s="234" t="s">
        <v>1342</v>
      </c>
      <c r="H428" s="22"/>
      <c r="I428" s="22"/>
      <c r="J428" s="88"/>
      <c r="K428" s="87"/>
      <c r="L428" s="88"/>
      <c r="M428" s="89"/>
      <c r="N428" s="37"/>
      <c r="O428" s="87"/>
      <c r="P428" s="87"/>
      <c r="Q428" s="87"/>
      <c r="R428" s="87"/>
    </row>
    <row r="429" spans="1:18">
      <c r="A429" s="22">
        <v>3</v>
      </c>
      <c r="B429" s="43" t="s">
        <v>627</v>
      </c>
      <c r="C429" s="25"/>
      <c r="D429" s="232">
        <v>3</v>
      </c>
      <c r="E429" s="233" t="str">
        <f t="shared" si="23"/>
        <v>ULGasket黑一般厚度</v>
      </c>
      <c r="F429" s="234" t="s">
        <v>627</v>
      </c>
      <c r="G429" s="234" t="s">
        <v>1342</v>
      </c>
      <c r="H429" s="22"/>
      <c r="I429" s="22"/>
      <c r="J429" s="88"/>
      <c r="K429" s="87"/>
      <c r="L429" s="88"/>
      <c r="M429" s="89"/>
      <c r="N429" s="37"/>
      <c r="O429" s="87"/>
      <c r="P429" s="87"/>
      <c r="Q429" s="87"/>
      <c r="R429" s="87"/>
    </row>
    <row r="430" spans="1:18">
      <c r="A430" s="22">
        <v>4</v>
      </c>
      <c r="B430" s="43" t="s">
        <v>628</v>
      </c>
      <c r="D430" s="232">
        <v>4</v>
      </c>
      <c r="E430" s="233" t="str">
        <f t="shared" si="23"/>
        <v>Non_ULGasket黑一般厚度</v>
      </c>
      <c r="F430" s="234" t="s">
        <v>628</v>
      </c>
      <c r="G430" s="234" t="s">
        <v>1342</v>
      </c>
      <c r="H430" s="22"/>
      <c r="I430" s="22"/>
      <c r="J430" s="88"/>
      <c r="K430" s="87"/>
      <c r="L430" s="88"/>
      <c r="M430" s="89"/>
      <c r="N430" s="37"/>
      <c r="O430" s="87"/>
      <c r="P430" s="87"/>
      <c r="Q430" s="87"/>
      <c r="R430" s="87"/>
    </row>
    <row r="431" spans="1:18">
      <c r="A431" s="22">
        <v>5</v>
      </c>
      <c r="B431" s="35" t="s">
        <v>629</v>
      </c>
      <c r="C431" s="25"/>
      <c r="D431" s="22">
        <v>5</v>
      </c>
      <c r="E431" s="23" t="str">
        <f t="shared" si="23"/>
        <v>UL_Eco_FormT1.0</v>
      </c>
      <c r="F431" s="35" t="s">
        <v>629</v>
      </c>
      <c r="G431" s="23" t="s">
        <v>537</v>
      </c>
      <c r="H431" s="22"/>
      <c r="I431" s="22"/>
      <c r="J431" s="88"/>
      <c r="K431" s="87"/>
      <c r="L431" s="88"/>
      <c r="M431" s="88"/>
      <c r="N431" s="37"/>
      <c r="O431" s="87"/>
      <c r="P431" s="87"/>
      <c r="Q431" s="87"/>
      <c r="R431" s="87"/>
    </row>
    <row r="432" spans="1:18">
      <c r="A432" s="22">
        <v>6</v>
      </c>
      <c r="B432" s="35" t="s">
        <v>631</v>
      </c>
      <c r="C432" s="27"/>
      <c r="D432" s="22">
        <v>6</v>
      </c>
      <c r="E432" s="23" t="str">
        <f t="shared" si="23"/>
        <v>Non_UL_Eco_FormT1.0</v>
      </c>
      <c r="F432" s="35" t="s">
        <v>631</v>
      </c>
      <c r="G432" s="23" t="s">
        <v>537</v>
      </c>
      <c r="H432" s="22"/>
      <c r="I432" s="22"/>
      <c r="J432" s="88"/>
      <c r="K432" s="87"/>
      <c r="L432" s="88"/>
      <c r="M432" s="88"/>
      <c r="N432" s="37"/>
      <c r="O432" s="87"/>
      <c r="P432" s="87"/>
      <c r="Q432" s="87"/>
      <c r="R432" s="87"/>
    </row>
    <row r="433" spans="1:18">
      <c r="A433" s="22">
        <v>7</v>
      </c>
      <c r="B433" s="23" t="s">
        <v>527</v>
      </c>
      <c r="C433" s="24"/>
      <c r="D433" s="22">
        <v>7</v>
      </c>
      <c r="E433" s="23" t="str">
        <f t="shared" si="23"/>
        <v>UL_Eco_FormT1.5</v>
      </c>
      <c r="F433" s="35" t="s">
        <v>629</v>
      </c>
      <c r="G433" s="23" t="s">
        <v>541</v>
      </c>
      <c r="H433" s="22"/>
      <c r="I433" s="22"/>
      <c r="J433" s="88"/>
      <c r="K433" s="87"/>
      <c r="L433" s="88"/>
      <c r="M433" s="88"/>
      <c r="N433" s="37"/>
      <c r="O433" s="87"/>
      <c r="P433" s="87"/>
      <c r="Q433" s="87"/>
      <c r="R433" s="87"/>
    </row>
    <row r="434" spans="1:18">
      <c r="A434" s="26"/>
      <c r="B434" s="24"/>
      <c r="C434" s="24"/>
      <c r="D434" s="22">
        <v>8</v>
      </c>
      <c r="E434" s="23" t="str">
        <f t="shared" si="23"/>
        <v>Non_UL_Eco_FormT1.5</v>
      </c>
      <c r="F434" s="35" t="s">
        <v>631</v>
      </c>
      <c r="G434" s="23" t="s">
        <v>541</v>
      </c>
      <c r="H434" s="22"/>
      <c r="I434" s="22"/>
      <c r="J434" s="88"/>
      <c r="K434" s="87"/>
      <c r="L434" s="88"/>
      <c r="M434" s="88"/>
      <c r="N434" s="37"/>
      <c r="O434" s="87"/>
      <c r="P434" s="87"/>
      <c r="Q434" s="87"/>
      <c r="R434" s="87"/>
    </row>
    <row r="435" spans="1:18">
      <c r="A435" s="26"/>
      <c r="B435" s="24"/>
      <c r="C435" s="24"/>
      <c r="D435" s="22">
        <v>9</v>
      </c>
      <c r="E435" s="23" t="str">
        <f t="shared" si="23"/>
        <v>UL_Eco_FormT2.0</v>
      </c>
      <c r="F435" s="35" t="s">
        <v>629</v>
      </c>
      <c r="G435" s="23" t="s">
        <v>542</v>
      </c>
      <c r="H435" s="22"/>
      <c r="I435" s="22"/>
      <c r="J435" s="88"/>
      <c r="K435" s="87"/>
      <c r="L435" s="87"/>
      <c r="M435" s="87"/>
      <c r="N435" s="37"/>
      <c r="O435" s="87"/>
      <c r="P435" s="87"/>
      <c r="Q435" s="87"/>
      <c r="R435" s="87"/>
    </row>
    <row r="436" spans="1:18">
      <c r="A436" s="35" t="s">
        <v>629</v>
      </c>
      <c r="B436" s="23" t="s">
        <v>537</v>
      </c>
      <c r="C436" s="24"/>
      <c r="D436" s="22">
        <v>10</v>
      </c>
      <c r="E436" s="23" t="str">
        <f t="shared" si="23"/>
        <v>Non_UL_Eco_FormT2.0</v>
      </c>
      <c r="F436" s="35" t="s">
        <v>631</v>
      </c>
      <c r="G436" s="23" t="s">
        <v>542</v>
      </c>
      <c r="H436" s="22"/>
      <c r="I436" s="22"/>
      <c r="J436" s="88"/>
      <c r="K436" s="87"/>
      <c r="L436" s="87"/>
      <c r="M436" s="87"/>
      <c r="N436" s="37"/>
      <c r="O436" s="87"/>
      <c r="P436" s="87"/>
      <c r="Q436" s="87"/>
      <c r="R436" s="87"/>
    </row>
    <row r="437" spans="1:18">
      <c r="A437" s="25"/>
      <c r="B437" s="23" t="s">
        <v>541</v>
      </c>
      <c r="C437" s="24"/>
      <c r="D437" s="22">
        <v>11</v>
      </c>
      <c r="E437" s="23" t="str">
        <f t="shared" si="23"/>
        <v>Other_Fill_ME_Remark</v>
      </c>
      <c r="F437" s="35" t="s">
        <v>527</v>
      </c>
      <c r="G437" s="35"/>
      <c r="H437" s="22"/>
      <c r="I437" s="22"/>
      <c r="J437" s="91"/>
      <c r="K437" s="87"/>
      <c r="L437" s="90"/>
      <c r="M437" s="90"/>
      <c r="N437" s="37"/>
      <c r="O437" s="87"/>
      <c r="P437" s="87"/>
      <c r="Q437" s="87"/>
      <c r="R437" s="87"/>
    </row>
    <row r="438" spans="1:18">
      <c r="A438" s="25"/>
      <c r="B438" s="23" t="s">
        <v>542</v>
      </c>
      <c r="C438" s="24"/>
      <c r="D438" s="22"/>
      <c r="E438" s="23" t="str">
        <f t="shared" si="23"/>
        <v/>
      </c>
      <c r="F438" s="23"/>
      <c r="G438" s="46"/>
      <c r="H438" s="22"/>
      <c r="I438" s="22"/>
      <c r="J438" s="91"/>
      <c r="K438" s="87"/>
      <c r="L438" s="90"/>
      <c r="M438" s="90"/>
      <c r="N438" s="37"/>
      <c r="O438" s="87"/>
      <c r="P438" s="87"/>
      <c r="Q438" s="87"/>
      <c r="R438" s="87"/>
    </row>
    <row r="439" spans="1:18">
      <c r="A439" s="38"/>
      <c r="B439" s="23" t="s">
        <v>527</v>
      </c>
      <c r="C439" s="25"/>
      <c r="D439" s="22"/>
      <c r="E439" s="23" t="str">
        <f t="shared" si="23"/>
        <v/>
      </c>
      <c r="F439" s="23"/>
      <c r="G439" s="46"/>
      <c r="H439" s="22"/>
      <c r="I439" s="22"/>
      <c r="J439" s="91"/>
      <c r="K439" s="87"/>
      <c r="L439" s="90"/>
      <c r="M439" s="90"/>
      <c r="N439" s="37"/>
      <c r="O439" s="87"/>
      <c r="P439" s="87"/>
      <c r="Q439" s="87"/>
      <c r="R439" s="87"/>
    </row>
    <row r="440" spans="1:18">
      <c r="A440" s="38"/>
      <c r="B440" s="24"/>
      <c r="C440" s="25"/>
      <c r="D440" s="22"/>
      <c r="E440" s="23" t="str">
        <f t="shared" si="23"/>
        <v/>
      </c>
      <c r="F440" s="23"/>
      <c r="G440" s="46"/>
      <c r="H440" s="22"/>
      <c r="I440" s="22"/>
      <c r="J440" s="91"/>
      <c r="K440" s="87"/>
      <c r="L440" s="90"/>
      <c r="M440" s="90"/>
      <c r="N440" s="37"/>
      <c r="O440" s="87"/>
      <c r="P440" s="87"/>
      <c r="Q440" s="87"/>
      <c r="R440" s="87"/>
    </row>
    <row r="441" spans="1:18">
      <c r="A441" s="35" t="s">
        <v>631</v>
      </c>
      <c r="B441" s="23" t="s">
        <v>537</v>
      </c>
      <c r="C441" s="25"/>
      <c r="D441" s="22"/>
      <c r="E441" s="23" t="str">
        <f t="shared" si="23"/>
        <v/>
      </c>
      <c r="F441" s="23"/>
      <c r="G441" s="46"/>
      <c r="H441" s="22"/>
      <c r="I441" s="22"/>
      <c r="J441" s="91"/>
      <c r="K441" s="87"/>
      <c r="L441" s="90"/>
      <c r="M441" s="90"/>
      <c r="N441" s="37"/>
      <c r="O441" s="87"/>
      <c r="P441" s="87"/>
      <c r="Q441" s="87"/>
      <c r="R441" s="87"/>
    </row>
    <row r="442" spans="1:18">
      <c r="A442" s="25"/>
      <c r="B442" s="23" t="s">
        <v>541</v>
      </c>
      <c r="C442" s="24"/>
      <c r="D442" s="22"/>
      <c r="E442" s="23" t="str">
        <f t="shared" si="23"/>
        <v/>
      </c>
      <c r="F442" s="23"/>
      <c r="G442" s="46"/>
      <c r="H442" s="22"/>
      <c r="I442" s="22"/>
      <c r="J442" s="91"/>
      <c r="K442" s="87"/>
      <c r="L442" s="90"/>
      <c r="M442" s="90"/>
      <c r="N442" s="37"/>
      <c r="O442" s="87"/>
      <c r="P442" s="87"/>
      <c r="Q442" s="87"/>
      <c r="R442" s="87"/>
    </row>
    <row r="443" spans="1:18">
      <c r="A443" s="25"/>
      <c r="B443" s="23" t="s">
        <v>542</v>
      </c>
      <c r="D443" s="22"/>
      <c r="E443" s="23" t="str">
        <f t="shared" si="23"/>
        <v/>
      </c>
      <c r="F443" s="23"/>
      <c r="G443" s="46"/>
      <c r="H443" s="22"/>
      <c r="I443" s="22"/>
      <c r="J443" s="91"/>
      <c r="K443" s="87"/>
      <c r="L443" s="90"/>
      <c r="M443" s="90"/>
      <c r="N443" s="37"/>
      <c r="O443" s="87"/>
      <c r="P443" s="87"/>
      <c r="Q443" s="87"/>
      <c r="R443" s="87"/>
    </row>
    <row r="444" spans="1:18">
      <c r="A444" s="25"/>
      <c r="B444" s="23" t="s">
        <v>527</v>
      </c>
      <c r="C444" s="25"/>
      <c r="D444" s="22"/>
      <c r="E444" s="23" t="str">
        <f t="shared" si="23"/>
        <v/>
      </c>
      <c r="F444" s="23"/>
      <c r="G444" s="35"/>
      <c r="H444" s="22"/>
      <c r="I444" s="22"/>
      <c r="J444" s="91"/>
      <c r="K444" s="87"/>
      <c r="L444" s="90"/>
      <c r="M444" s="90"/>
      <c r="N444" s="37"/>
      <c r="O444" s="87"/>
      <c r="P444" s="87"/>
      <c r="Q444" s="87"/>
      <c r="R444" s="87"/>
    </row>
    <row r="445" spans="1:18">
      <c r="C445" s="24"/>
      <c r="H445" s="22"/>
      <c r="I445" s="22"/>
      <c r="J445" s="22"/>
      <c r="K445" s="22"/>
      <c r="L445" s="22"/>
      <c r="M445" s="22"/>
      <c r="N445" s="37"/>
      <c r="O445" s="22"/>
      <c r="P445" s="22"/>
      <c r="Q445" s="22"/>
      <c r="R445" s="22"/>
    </row>
    <row r="446" spans="1:18">
      <c r="A446" s="24"/>
      <c r="B446" s="24"/>
      <c r="C446" s="24"/>
      <c r="D446" s="26"/>
      <c r="E446" s="27"/>
      <c r="F446" s="24"/>
      <c r="G446" s="41"/>
      <c r="H446" s="22"/>
      <c r="I446" s="22"/>
      <c r="J446" s="22"/>
      <c r="K446" s="22"/>
      <c r="L446" s="155"/>
      <c r="M446" s="155"/>
      <c r="N446" s="37"/>
      <c r="O446" s="22"/>
      <c r="P446" s="22"/>
      <c r="Q446" s="22"/>
      <c r="R446" s="22"/>
    </row>
    <row r="447" spans="1:18">
      <c r="A447" s="201" t="s">
        <v>1013</v>
      </c>
      <c r="B447" s="202" t="s">
        <v>1014</v>
      </c>
      <c r="C447" s="24"/>
      <c r="D447" s="201" t="s">
        <v>1015</v>
      </c>
      <c r="E447" s="201" t="s">
        <v>1016</v>
      </c>
      <c r="F447" s="202" t="s">
        <v>1014</v>
      </c>
      <c r="G447" s="203" t="s">
        <v>1013</v>
      </c>
      <c r="H447" s="204"/>
      <c r="I447" s="204"/>
      <c r="J447" s="205"/>
      <c r="K447" s="205"/>
      <c r="L447" s="205"/>
      <c r="M447" s="205"/>
      <c r="N447" s="206"/>
      <c r="O447" s="205"/>
      <c r="P447" s="205"/>
      <c r="Q447" s="205"/>
      <c r="R447" s="205"/>
    </row>
    <row r="448" spans="1:18">
      <c r="A448" s="22">
        <v>1</v>
      </c>
      <c r="B448" s="23" t="str">
        <f>D448&amp;$A$447</f>
        <v>T0.125Mesh</v>
      </c>
      <c r="C448" s="24"/>
      <c r="D448" s="22" t="s">
        <v>1017</v>
      </c>
      <c r="E448" s="23" t="str">
        <f>F448&amp;G448</f>
        <v>T0.125MeshDFR117網孔0.8_P1.2</v>
      </c>
      <c r="F448" s="23" t="str">
        <f>D448&amp;$A$447</f>
        <v>T0.125Mesh</v>
      </c>
      <c r="G448" s="43" t="s">
        <v>1018</v>
      </c>
      <c r="H448" s="22"/>
      <c r="I448" s="22"/>
      <c r="J448" s="44"/>
      <c r="K448" s="22"/>
      <c r="L448" s="44"/>
      <c r="M448" s="45"/>
      <c r="N448" s="37"/>
      <c r="O448" s="22"/>
      <c r="P448" s="22"/>
      <c r="Q448" s="22"/>
      <c r="R448" s="22"/>
    </row>
    <row r="449" spans="1:18">
      <c r="A449" s="22">
        <v>2</v>
      </c>
      <c r="B449" s="23" t="str">
        <f>D454&amp;$A$447</f>
        <v>T0.175Mesh</v>
      </c>
      <c r="C449" s="24"/>
      <c r="D449" s="22"/>
      <c r="E449" s="23" t="str">
        <f t="shared" ref="E449:E461" si="24">F449&amp;G449</f>
        <v>T0.125MeshDFR117網孔0.5_P0.9</v>
      </c>
      <c r="F449" s="23" t="str">
        <f>D448&amp;$A$447</f>
        <v>T0.125Mesh</v>
      </c>
      <c r="G449" s="43" t="s">
        <v>1019</v>
      </c>
      <c r="H449" s="22"/>
      <c r="I449" s="22"/>
      <c r="J449" s="44"/>
      <c r="K449" s="22"/>
      <c r="L449" s="44"/>
      <c r="M449" s="45"/>
      <c r="N449" s="37"/>
      <c r="O449" s="22"/>
      <c r="P449" s="22"/>
      <c r="Q449" s="22"/>
      <c r="R449" s="22"/>
    </row>
    <row r="450" spans="1:18">
      <c r="A450" s="22">
        <v>3</v>
      </c>
      <c r="B450" s="23" t="str">
        <f>D457&amp;$A$447</f>
        <v>T0.178Mesh</v>
      </c>
      <c r="C450" s="24"/>
      <c r="D450" s="22"/>
      <c r="E450" s="23" t="str">
        <f t="shared" si="24"/>
        <v>T0.125MeshDFR117網孔0.5_P0.7</v>
      </c>
      <c r="F450" s="23" t="str">
        <f>D448&amp;$A$447</f>
        <v>T0.125Mesh</v>
      </c>
      <c r="G450" s="43" t="s">
        <v>1020</v>
      </c>
      <c r="H450" s="22"/>
      <c r="I450" s="22"/>
      <c r="J450" s="44"/>
      <c r="K450" s="22"/>
      <c r="L450" s="44"/>
      <c r="M450" s="45"/>
      <c r="N450" s="37"/>
      <c r="O450" s="22"/>
      <c r="P450" s="22"/>
      <c r="Q450" s="22"/>
      <c r="R450" s="22"/>
    </row>
    <row r="451" spans="1:18">
      <c r="A451" s="22">
        <v>4</v>
      </c>
      <c r="B451" s="23" t="str">
        <f>D460&amp;$A$447</f>
        <v>T0.25Mesh</v>
      </c>
      <c r="C451" s="25"/>
      <c r="D451" s="152"/>
      <c r="E451" s="153" t="str">
        <f t="shared" si="24"/>
        <v>T0.125MeshHY_5080</v>
      </c>
      <c r="F451" s="153" t="str">
        <f>D448&amp;$A$447</f>
        <v>T0.125Mesh</v>
      </c>
      <c r="G451" s="156" t="s">
        <v>1021</v>
      </c>
      <c r="H451" s="22"/>
      <c r="I451" s="22"/>
      <c r="J451" s="44"/>
      <c r="K451" s="22"/>
      <c r="L451" s="44"/>
      <c r="M451" s="45"/>
      <c r="N451" s="37"/>
      <c r="O451" s="22"/>
      <c r="P451" s="22"/>
      <c r="Q451" s="22"/>
      <c r="R451" s="22"/>
    </row>
    <row r="452" spans="1:18">
      <c r="A452" s="22">
        <v>5</v>
      </c>
      <c r="B452" s="23" t="s">
        <v>859</v>
      </c>
      <c r="C452" s="24"/>
      <c r="D452" s="22"/>
      <c r="E452" s="23" t="str">
        <f t="shared" si="24"/>
        <v>Other_Fill_ME_Remark</v>
      </c>
      <c r="F452" s="23"/>
      <c r="G452" s="35" t="s">
        <v>859</v>
      </c>
      <c r="H452" s="22"/>
      <c r="I452" s="22"/>
      <c r="J452" s="22"/>
      <c r="K452" s="22"/>
      <c r="L452" s="44"/>
      <c r="M452" s="45"/>
      <c r="N452" s="37"/>
      <c r="O452" s="22"/>
      <c r="P452" s="22"/>
      <c r="Q452" s="22"/>
      <c r="R452" s="22"/>
    </row>
    <row r="453" spans="1:18">
      <c r="A453" s="25"/>
      <c r="B453" s="24"/>
      <c r="D453" s="22"/>
      <c r="E453" s="23"/>
      <c r="F453" s="23"/>
      <c r="G453" s="35"/>
      <c r="H453" s="22"/>
      <c r="I453" s="22"/>
      <c r="J453" s="22"/>
      <c r="K453" s="22"/>
      <c r="L453" s="44"/>
      <c r="M453" s="45"/>
      <c r="N453" s="37"/>
      <c r="O453" s="22"/>
      <c r="P453" s="22"/>
      <c r="Q453" s="22"/>
      <c r="R453" s="22"/>
    </row>
    <row r="454" spans="1:18">
      <c r="A454" s="25"/>
      <c r="B454" s="24"/>
      <c r="C454" s="25"/>
      <c r="D454" s="22" t="s">
        <v>1022</v>
      </c>
      <c r="E454" s="23" t="str">
        <f t="shared" si="24"/>
        <v>T0.175MeshDFR117網孔0.8_P1.2</v>
      </c>
      <c r="F454" s="23" t="str">
        <f>D454&amp;$A$447</f>
        <v>T0.175Mesh</v>
      </c>
      <c r="G454" s="43" t="s">
        <v>1018</v>
      </c>
      <c r="H454" s="22"/>
      <c r="I454" s="22"/>
      <c r="J454" s="22"/>
      <c r="K454" s="22"/>
      <c r="L454" s="44"/>
      <c r="M454" s="44"/>
      <c r="N454" s="37"/>
      <c r="O454" s="22"/>
      <c r="P454" s="22"/>
      <c r="Q454" s="22"/>
      <c r="R454" s="22"/>
    </row>
    <row r="455" spans="1:18">
      <c r="A455" s="25"/>
      <c r="B455" s="24"/>
      <c r="C455" s="27"/>
      <c r="D455" s="22"/>
      <c r="E455" s="23" t="str">
        <f t="shared" si="24"/>
        <v>Other_Fill_ME_Remark</v>
      </c>
      <c r="F455" s="23"/>
      <c r="G455" s="35" t="s">
        <v>859</v>
      </c>
      <c r="H455" s="22"/>
      <c r="I455" s="22"/>
      <c r="J455" s="22"/>
      <c r="K455" s="22"/>
      <c r="L455" s="44"/>
      <c r="M455" s="44"/>
      <c r="N455" s="37"/>
      <c r="O455" s="22"/>
      <c r="P455" s="22"/>
      <c r="Q455" s="22"/>
      <c r="R455" s="22"/>
    </row>
    <row r="456" spans="1:18">
      <c r="A456" s="25"/>
      <c r="B456" s="24"/>
      <c r="C456" s="24"/>
      <c r="D456" s="22"/>
      <c r="E456" s="23"/>
      <c r="F456" s="23"/>
      <c r="G456" s="46"/>
      <c r="H456" s="22"/>
      <c r="I456" s="22"/>
      <c r="J456" s="22"/>
      <c r="K456" s="22"/>
      <c r="L456" s="44"/>
      <c r="M456" s="44"/>
      <c r="N456" s="37"/>
      <c r="O456" s="22"/>
      <c r="P456" s="22"/>
      <c r="Q456" s="22"/>
      <c r="R456" s="22"/>
    </row>
    <row r="457" spans="1:18">
      <c r="A457" s="25"/>
      <c r="B457" s="24"/>
      <c r="C457" s="24"/>
      <c r="D457" s="22" t="s">
        <v>1023</v>
      </c>
      <c r="E457" s="23" t="str">
        <f t="shared" si="24"/>
        <v>T0.178MeshDFR117網孔0.5_P0.9</v>
      </c>
      <c r="F457" s="23" t="str">
        <f>D457&amp;$A$447</f>
        <v>T0.178Mesh</v>
      </c>
      <c r="G457" s="43" t="s">
        <v>1019</v>
      </c>
      <c r="H457" s="22"/>
      <c r="I457" s="22"/>
      <c r="J457" s="22"/>
      <c r="K457" s="22"/>
      <c r="L457" s="44"/>
      <c r="M457" s="44"/>
      <c r="N457" s="37"/>
      <c r="O457" s="22"/>
      <c r="P457" s="22"/>
      <c r="Q457" s="22"/>
      <c r="R457" s="22"/>
    </row>
    <row r="458" spans="1:18">
      <c r="A458" s="25"/>
      <c r="B458" s="24"/>
      <c r="C458" s="24"/>
      <c r="D458" s="22"/>
      <c r="E458" s="23" t="str">
        <f t="shared" si="24"/>
        <v>Other_Fill_ME_Remark</v>
      </c>
      <c r="F458" s="23"/>
      <c r="G458" s="35" t="s">
        <v>859</v>
      </c>
      <c r="H458" s="22"/>
      <c r="I458" s="22"/>
      <c r="J458" s="48"/>
      <c r="K458" s="22"/>
      <c r="L458" s="44"/>
      <c r="M458" s="44"/>
      <c r="N458" s="37"/>
      <c r="O458" s="22"/>
      <c r="P458" s="22"/>
      <c r="Q458" s="22"/>
      <c r="R458" s="22"/>
    </row>
    <row r="459" spans="1:18">
      <c r="A459" s="25"/>
      <c r="B459" s="24"/>
      <c r="C459" s="24"/>
      <c r="D459" s="22"/>
      <c r="E459" s="23"/>
      <c r="F459" s="23"/>
      <c r="G459" s="46"/>
      <c r="H459" s="22"/>
      <c r="I459" s="22"/>
      <c r="J459" s="48"/>
      <c r="K459" s="22"/>
      <c r="L459" s="44"/>
      <c r="M459" s="44"/>
      <c r="N459" s="37"/>
      <c r="O459" s="22"/>
      <c r="P459" s="22"/>
      <c r="Q459" s="22"/>
      <c r="R459" s="22"/>
    </row>
    <row r="460" spans="1:18">
      <c r="A460" s="25"/>
      <c r="B460" s="24"/>
      <c r="C460" s="24"/>
      <c r="D460" s="22" t="s">
        <v>998</v>
      </c>
      <c r="E460" s="23" t="str">
        <f t="shared" si="24"/>
        <v>T0.25MeshDFR117網孔0.8_P1.2</v>
      </c>
      <c r="F460" s="23" t="str">
        <f>D460&amp;$A$447</f>
        <v>T0.25Mesh</v>
      </c>
      <c r="G460" s="43" t="s">
        <v>1018</v>
      </c>
      <c r="H460" s="22"/>
      <c r="I460" s="22"/>
      <c r="J460" s="48"/>
      <c r="K460" s="22"/>
      <c r="L460" s="22"/>
      <c r="M460" s="22"/>
      <c r="N460" s="37"/>
      <c r="O460" s="22"/>
      <c r="P460" s="22"/>
      <c r="Q460" s="22"/>
      <c r="R460" s="22"/>
    </row>
    <row r="461" spans="1:18">
      <c r="A461" s="26"/>
      <c r="B461" s="24"/>
      <c r="C461" s="24"/>
      <c r="D461" s="22"/>
      <c r="E461" s="23" t="str">
        <f t="shared" si="24"/>
        <v>Other_Fill_ME_Remark</v>
      </c>
      <c r="F461" s="23"/>
      <c r="G461" s="35" t="s">
        <v>859</v>
      </c>
      <c r="H461" s="22"/>
      <c r="I461" s="22"/>
      <c r="J461" s="22"/>
      <c r="K461" s="22"/>
      <c r="L461" s="22"/>
      <c r="M461" s="22"/>
      <c r="N461" s="37"/>
      <c r="O461" s="22"/>
      <c r="P461" s="22"/>
      <c r="Q461" s="22"/>
      <c r="R461" s="22"/>
    </row>
    <row r="462" spans="1:18">
      <c r="A462" s="26"/>
      <c r="B462" s="24"/>
      <c r="C462" s="24"/>
      <c r="D462" s="22"/>
      <c r="E462" s="23"/>
      <c r="F462" s="23"/>
      <c r="G462" s="35"/>
      <c r="H462" s="22"/>
      <c r="I462" s="22"/>
      <c r="J462" s="22"/>
      <c r="K462" s="22"/>
      <c r="L462" s="22"/>
      <c r="M462" s="22"/>
      <c r="N462" s="37"/>
      <c r="O462" s="22"/>
      <c r="P462" s="22"/>
      <c r="Q462" s="22"/>
      <c r="R462" s="22"/>
    </row>
    <row r="463" spans="1:18">
      <c r="C463" s="24"/>
      <c r="H463" s="22"/>
      <c r="I463" s="22"/>
      <c r="J463" s="22"/>
      <c r="K463" s="22"/>
      <c r="L463" s="22"/>
      <c r="M463" s="22"/>
      <c r="N463" s="37"/>
      <c r="O463" s="22"/>
      <c r="P463" s="22"/>
      <c r="Q463" s="22"/>
      <c r="R463" s="22"/>
    </row>
    <row r="464" spans="1:18">
      <c r="A464" s="211" t="s">
        <v>1258</v>
      </c>
      <c r="B464" s="24"/>
      <c r="C464" s="24"/>
      <c r="D464" s="26"/>
      <c r="E464" s="27"/>
      <c r="F464" s="24"/>
      <c r="G464" s="41"/>
      <c r="H464" s="22"/>
      <c r="I464" s="22"/>
      <c r="J464" s="22"/>
      <c r="K464" s="22"/>
      <c r="L464" s="155"/>
      <c r="M464" s="155"/>
      <c r="N464" s="37"/>
      <c r="O464" s="22"/>
      <c r="P464" s="22"/>
      <c r="Q464" s="22"/>
      <c r="R464" s="22"/>
    </row>
    <row r="465" spans="1:18">
      <c r="A465" s="29" t="s">
        <v>1257</v>
      </c>
      <c r="B465" s="30" t="s">
        <v>1014</v>
      </c>
      <c r="C465" s="24"/>
      <c r="D465" s="29" t="s">
        <v>1015</v>
      </c>
      <c r="E465" s="29" t="s">
        <v>1016</v>
      </c>
      <c r="F465" s="30" t="s">
        <v>1014</v>
      </c>
      <c r="G465" s="30" t="s">
        <v>1024</v>
      </c>
      <c r="H465" s="22"/>
      <c r="I465" s="22"/>
      <c r="J465" s="33"/>
      <c r="K465" s="33"/>
      <c r="L465" s="33"/>
      <c r="M465" s="33"/>
      <c r="N465" s="37"/>
      <c r="O465" s="33"/>
      <c r="P465" s="33"/>
      <c r="Q465" s="33"/>
      <c r="R465" s="33"/>
    </row>
    <row r="466" spans="1:18">
      <c r="A466" s="22">
        <v>1</v>
      </c>
      <c r="B466" s="23" t="str">
        <f>D466&amp;$A$465</f>
        <v>T0.05_AlCu</v>
      </c>
      <c r="D466" s="22" t="s">
        <v>1025</v>
      </c>
      <c r="E466" s="23" t="str">
        <f>F466&amp;G466</f>
        <v>T0.05_AlCuAL_Mylar_不含背膠</v>
      </c>
      <c r="F466" s="23" t="str">
        <f>D466&amp;$A$465</f>
        <v>T0.05_AlCu</v>
      </c>
      <c r="G466" s="23" t="s">
        <v>1026</v>
      </c>
      <c r="H466" s="22"/>
      <c r="I466" s="22"/>
      <c r="J466" s="44"/>
      <c r="K466" s="22"/>
      <c r="L466" s="44"/>
      <c r="M466" s="45"/>
      <c r="N466" s="37"/>
      <c r="O466" s="22"/>
      <c r="P466" s="22"/>
      <c r="Q466" s="22"/>
      <c r="R466" s="22"/>
    </row>
    <row r="467" spans="1:18">
      <c r="A467" s="22">
        <v>2</v>
      </c>
      <c r="B467" s="23" t="str">
        <f>D472&amp;$A$465</f>
        <v>T0.06_AlCu</v>
      </c>
      <c r="D467" s="152"/>
      <c r="E467" s="153" t="str">
        <f>F467&amp;G467</f>
        <v>T0.05_AlCuCu_Mylar_不含背膠</v>
      </c>
      <c r="F467" s="153" t="str">
        <f>D466&amp;$A$465</f>
        <v>T0.05_AlCu</v>
      </c>
      <c r="G467" s="153" t="s">
        <v>1027</v>
      </c>
      <c r="H467" s="22"/>
      <c r="I467" s="22"/>
      <c r="J467" s="44"/>
      <c r="K467" s="22"/>
      <c r="L467" s="44"/>
      <c r="M467" s="45"/>
      <c r="N467" s="37"/>
      <c r="O467" s="22"/>
      <c r="P467" s="22"/>
      <c r="Q467" s="22"/>
      <c r="R467" s="22"/>
    </row>
    <row r="468" spans="1:18">
      <c r="A468" s="22">
        <v>3</v>
      </c>
      <c r="B468" s="23" t="str">
        <f>D475&amp;$A$465</f>
        <v>T0.075_AlCu</v>
      </c>
      <c r="D468" s="22"/>
      <c r="E468" s="23" t="str">
        <f t="shared" ref="E468:E470" si="25">F468&amp;G468</f>
        <v>T0.05_AlCu軟鋁S_不含背膠</v>
      </c>
      <c r="F468" s="23" t="str">
        <f>D466&amp;$A$465</f>
        <v>T0.05_AlCu</v>
      </c>
      <c r="G468" s="23" t="s">
        <v>1028</v>
      </c>
      <c r="H468" s="22"/>
      <c r="I468" s="22"/>
      <c r="J468" s="22"/>
      <c r="K468" s="22"/>
      <c r="L468" s="44"/>
      <c r="M468" s="45"/>
      <c r="N468" s="37"/>
      <c r="O468" s="22"/>
      <c r="P468" s="22"/>
      <c r="Q468" s="22"/>
      <c r="R468" s="22"/>
    </row>
    <row r="469" spans="1:18">
      <c r="A469" s="22">
        <v>4</v>
      </c>
      <c r="B469" s="23" t="str">
        <f>D478&amp;$A$465</f>
        <v>T0.1_AlCu</v>
      </c>
      <c r="D469" s="152"/>
      <c r="E469" s="153" t="str">
        <f t="shared" si="25"/>
        <v>T0.05_AlCu軟銅_不含背膠</v>
      </c>
      <c r="F469" s="153" t="str">
        <f>D466&amp;$A$465</f>
        <v>T0.05_AlCu</v>
      </c>
      <c r="G469" s="159" t="s">
        <v>1029</v>
      </c>
      <c r="H469" s="22"/>
      <c r="I469" s="22"/>
      <c r="J469" s="22"/>
      <c r="K469" s="22"/>
      <c r="L469" s="44"/>
      <c r="M469" s="45"/>
      <c r="N469" s="37"/>
      <c r="O469" s="22"/>
      <c r="P469" s="22"/>
      <c r="Q469" s="22"/>
      <c r="R469" s="22"/>
    </row>
    <row r="470" spans="1:18">
      <c r="A470" s="22">
        <v>5</v>
      </c>
      <c r="B470" s="23" t="str">
        <f>D485&amp;$A$465</f>
        <v>T0.15_AlCu</v>
      </c>
      <c r="D470" s="22"/>
      <c r="E470" s="23" t="str">
        <f t="shared" si="25"/>
        <v>Other_Fill_ME_Remark</v>
      </c>
      <c r="F470" s="23"/>
      <c r="G470" s="23" t="s">
        <v>1030</v>
      </c>
      <c r="H470" s="22"/>
      <c r="I470" s="22"/>
      <c r="J470" s="44"/>
      <c r="K470" s="22"/>
      <c r="L470" s="44"/>
      <c r="M470" s="45"/>
      <c r="N470" s="37"/>
      <c r="O470" s="22"/>
      <c r="P470" s="22"/>
      <c r="Q470" s="22"/>
      <c r="R470" s="22"/>
    </row>
    <row r="471" spans="1:18">
      <c r="A471" s="22">
        <v>6</v>
      </c>
      <c r="B471" s="23" t="str">
        <f>D491&amp;$A$465</f>
        <v>T0.20_AlCu</v>
      </c>
      <c r="D471" s="22"/>
      <c r="E471" s="23"/>
      <c r="F471" s="23"/>
      <c r="G471" s="23"/>
      <c r="H471" s="22"/>
      <c r="I471" s="22"/>
      <c r="J471" s="44"/>
      <c r="K471" s="22"/>
      <c r="L471" s="44"/>
      <c r="M471" s="45"/>
      <c r="N471" s="37"/>
      <c r="O471" s="22"/>
      <c r="P471" s="22"/>
      <c r="Q471" s="22"/>
      <c r="R471" s="22"/>
    </row>
    <row r="472" spans="1:18">
      <c r="A472" s="22">
        <v>7</v>
      </c>
      <c r="B472" s="23" t="str">
        <f>D494&amp;$A$465</f>
        <v>T0.25_AlCu</v>
      </c>
      <c r="D472" s="22" t="s">
        <v>1031</v>
      </c>
      <c r="E472" s="23" t="str">
        <f t="shared" ref="E472:E496" si="26">F472&amp;G472</f>
        <v>T0.06_AlCu雙導鋁(含導電膠)</v>
      </c>
      <c r="F472" s="23" t="str">
        <f>D472&amp;$A$465</f>
        <v>T0.06_AlCu</v>
      </c>
      <c r="G472" s="23" t="s">
        <v>652</v>
      </c>
      <c r="H472" s="22"/>
      <c r="I472" s="22"/>
      <c r="J472" s="22"/>
      <c r="K472" s="22"/>
      <c r="L472" s="44"/>
      <c r="M472" s="45"/>
      <c r="N472" s="37"/>
      <c r="O472" s="22"/>
      <c r="P472" s="22"/>
      <c r="Q472" s="22"/>
      <c r="R472" s="22"/>
    </row>
    <row r="473" spans="1:18">
      <c r="A473" s="22">
        <v>8</v>
      </c>
      <c r="B473" s="23" t="s">
        <v>604</v>
      </c>
      <c r="D473" s="22"/>
      <c r="E473" s="23" t="str">
        <f t="shared" si="26"/>
        <v>Other_Fill_ME_Remark</v>
      </c>
      <c r="F473" s="23"/>
      <c r="G473" s="23" t="s">
        <v>1030</v>
      </c>
      <c r="H473" s="22"/>
      <c r="I473" s="22"/>
      <c r="J473" s="22"/>
      <c r="K473" s="22"/>
      <c r="L473" s="44"/>
      <c r="M473" s="45"/>
      <c r="N473" s="37"/>
      <c r="O473" s="22"/>
      <c r="P473" s="22"/>
      <c r="Q473" s="22"/>
      <c r="R473" s="22"/>
    </row>
    <row r="474" spans="1:18">
      <c r="A474" s="22">
        <v>9</v>
      </c>
      <c r="B474" s="23"/>
      <c r="D474" s="22"/>
      <c r="E474" s="23" t="str">
        <f t="shared" si="26"/>
        <v/>
      </c>
      <c r="F474" s="23"/>
      <c r="G474" s="23"/>
      <c r="H474" s="22"/>
      <c r="I474" s="22"/>
      <c r="J474" s="22"/>
      <c r="K474" s="22"/>
      <c r="L474" s="44"/>
      <c r="M474" s="44"/>
      <c r="N474" s="37"/>
      <c r="O474" s="22"/>
      <c r="P474" s="22"/>
      <c r="Q474" s="22"/>
      <c r="R474" s="22"/>
    </row>
    <row r="475" spans="1:18">
      <c r="A475" s="25"/>
      <c r="B475" s="24"/>
      <c r="D475" s="22" t="s">
        <v>1032</v>
      </c>
      <c r="E475" s="23" t="str">
        <f t="shared" si="26"/>
        <v>T0.075_AlCuAL_Mylar_不含背膠</v>
      </c>
      <c r="F475" s="23" t="str">
        <f>D475&amp;$A$465</f>
        <v>T0.075_AlCu</v>
      </c>
      <c r="G475" s="23" t="s">
        <v>1033</v>
      </c>
      <c r="H475" s="22"/>
      <c r="I475" s="22"/>
      <c r="J475" s="22"/>
      <c r="K475" s="22"/>
      <c r="L475" s="44"/>
      <c r="M475" s="44"/>
      <c r="N475" s="37"/>
      <c r="O475" s="22"/>
      <c r="P475" s="22"/>
      <c r="Q475" s="22"/>
      <c r="R475" s="22"/>
    </row>
    <row r="476" spans="1:18">
      <c r="A476" s="25"/>
      <c r="B476" s="24"/>
      <c r="D476" s="22"/>
      <c r="E476" s="23" t="str">
        <f t="shared" si="26"/>
        <v>Other_Fill_ME_Remark</v>
      </c>
      <c r="F476" s="23"/>
      <c r="G476" s="23" t="s">
        <v>859</v>
      </c>
      <c r="H476" s="22"/>
      <c r="I476" s="22"/>
      <c r="J476" s="22"/>
      <c r="K476" s="22"/>
      <c r="L476" s="44"/>
      <c r="M476" s="44"/>
      <c r="N476" s="37"/>
      <c r="O476" s="22"/>
      <c r="P476" s="22"/>
      <c r="Q476" s="22"/>
      <c r="R476" s="22"/>
    </row>
    <row r="477" spans="1:18">
      <c r="A477" s="25"/>
      <c r="B477" s="24"/>
      <c r="D477" s="22"/>
      <c r="E477" s="23" t="str">
        <f t="shared" si="26"/>
        <v/>
      </c>
      <c r="F477" s="23"/>
      <c r="G477" s="23"/>
      <c r="H477" s="22"/>
      <c r="I477" s="22"/>
      <c r="J477" s="22"/>
      <c r="K477" s="22"/>
      <c r="L477" s="44"/>
      <c r="M477" s="44"/>
      <c r="N477" s="37"/>
      <c r="O477" s="22"/>
      <c r="P477" s="22"/>
      <c r="Q477" s="22"/>
      <c r="R477" s="22"/>
    </row>
    <row r="478" spans="1:18">
      <c r="A478" s="25"/>
      <c r="B478" s="24"/>
      <c r="D478" s="22" t="s">
        <v>925</v>
      </c>
      <c r="E478" s="23" t="str">
        <f t="shared" si="26"/>
        <v>T0.1_AlCuAL_Mylar_不含背膠</v>
      </c>
      <c r="F478" s="53" t="str">
        <f>D478&amp;$A$465</f>
        <v>T0.1_AlCu</v>
      </c>
      <c r="G478" s="23" t="s">
        <v>1026</v>
      </c>
      <c r="H478" s="22"/>
      <c r="I478" s="22"/>
      <c r="J478" s="22"/>
      <c r="K478" s="22"/>
      <c r="L478" s="44"/>
      <c r="M478" s="44"/>
      <c r="N478" s="37"/>
      <c r="O478" s="22"/>
      <c r="P478" s="22"/>
      <c r="Q478" s="22"/>
      <c r="R478" s="22"/>
    </row>
    <row r="479" spans="1:18">
      <c r="A479" s="25"/>
      <c r="B479" s="24"/>
      <c r="D479" s="152"/>
      <c r="E479" s="153" t="str">
        <f t="shared" si="26"/>
        <v>T0.1_AlCuCu_Mylar_不含背膠</v>
      </c>
      <c r="F479" s="159" t="str">
        <f>D478&amp;$A$465</f>
        <v>T0.1_AlCu</v>
      </c>
      <c r="G479" s="153" t="s">
        <v>1034</v>
      </c>
      <c r="H479" s="22"/>
      <c r="I479" s="22"/>
      <c r="J479" s="22"/>
      <c r="K479" s="22"/>
      <c r="L479" s="44"/>
      <c r="M479" s="44"/>
      <c r="N479" s="37"/>
      <c r="O479" s="22"/>
      <c r="P479" s="22"/>
      <c r="Q479" s="22"/>
      <c r="R479" s="22"/>
    </row>
    <row r="480" spans="1:18">
      <c r="A480" s="25"/>
      <c r="B480" s="24"/>
      <c r="D480" s="22"/>
      <c r="E480" s="23" t="str">
        <f t="shared" si="26"/>
        <v>T0.1_AlCu雙導鋁(含導電膠)</v>
      </c>
      <c r="F480" s="53" t="str">
        <f>D478&amp;$A$465</f>
        <v>T0.1_AlCu</v>
      </c>
      <c r="G480" s="54" t="s">
        <v>1035</v>
      </c>
      <c r="H480" s="22"/>
      <c r="I480" s="22"/>
      <c r="J480" s="22"/>
      <c r="K480" s="22"/>
      <c r="L480" s="44"/>
      <c r="M480" s="44"/>
      <c r="N480" s="37"/>
      <c r="O480" s="22"/>
      <c r="P480" s="22"/>
      <c r="Q480" s="22"/>
      <c r="R480" s="22"/>
    </row>
    <row r="481" spans="1:18">
      <c r="A481" s="25"/>
      <c r="B481" s="24"/>
      <c r="D481" s="22"/>
      <c r="E481" s="23" t="str">
        <f t="shared" si="26"/>
        <v>T0.1_AlCu軟鋁S_不含背膠</v>
      </c>
      <c r="F481" s="53" t="str">
        <f>D478&amp;$A$465</f>
        <v>T0.1_AlCu</v>
      </c>
      <c r="G481" s="23" t="s">
        <v>659</v>
      </c>
      <c r="H481" s="22"/>
      <c r="I481" s="22"/>
      <c r="J481" s="22"/>
      <c r="K481" s="22"/>
      <c r="L481" s="44"/>
      <c r="M481" s="44"/>
      <c r="N481" s="37"/>
      <c r="O481" s="22"/>
      <c r="P481" s="22"/>
      <c r="Q481" s="22"/>
      <c r="R481" s="22"/>
    </row>
    <row r="482" spans="1:18">
      <c r="A482" s="25"/>
      <c r="B482" s="24"/>
      <c r="D482" s="22"/>
      <c r="E482" s="23" t="str">
        <f t="shared" si="26"/>
        <v>T0.1_AlCu軟銅_不含背膠</v>
      </c>
      <c r="F482" s="53" t="str">
        <f>D478&amp;$A$465</f>
        <v>T0.1_AlCu</v>
      </c>
      <c r="G482" s="55" t="s">
        <v>660</v>
      </c>
      <c r="H482" s="22"/>
      <c r="I482" s="22"/>
      <c r="J482" s="22"/>
      <c r="K482" s="22"/>
      <c r="L482" s="44"/>
      <c r="M482" s="44"/>
      <c r="N482" s="37"/>
      <c r="O482" s="22"/>
      <c r="P482" s="22"/>
      <c r="Q482" s="22"/>
      <c r="R482" s="22"/>
    </row>
    <row r="483" spans="1:18">
      <c r="A483" s="25"/>
      <c r="B483" s="24"/>
      <c r="D483" s="22"/>
      <c r="E483" s="23" t="str">
        <f t="shared" si="26"/>
        <v>T0.1_AlCuOther_Fill_ME_Remark</v>
      </c>
      <c r="F483" s="53" t="str">
        <f>D478&amp;$A$465</f>
        <v>T0.1_AlCu</v>
      </c>
      <c r="G483" s="23" t="s">
        <v>527</v>
      </c>
      <c r="H483" s="22"/>
      <c r="I483" s="22"/>
      <c r="J483" s="22"/>
      <c r="K483" s="22"/>
      <c r="L483" s="44"/>
      <c r="M483" s="44"/>
      <c r="N483" s="37"/>
      <c r="O483" s="22"/>
      <c r="P483" s="22"/>
      <c r="Q483" s="22"/>
      <c r="R483" s="22"/>
    </row>
    <row r="484" spans="1:18">
      <c r="A484" s="25"/>
      <c r="B484" s="24"/>
      <c r="D484" s="22"/>
      <c r="E484" s="23" t="str">
        <f t="shared" si="26"/>
        <v/>
      </c>
      <c r="F484" s="53"/>
      <c r="G484" s="23"/>
      <c r="H484" s="22"/>
      <c r="I484" s="22"/>
      <c r="J484" s="22"/>
      <c r="K484" s="22"/>
      <c r="L484" s="44"/>
      <c r="M484" s="44"/>
      <c r="N484" s="37"/>
      <c r="O484" s="22"/>
      <c r="P484" s="22"/>
      <c r="Q484" s="22"/>
      <c r="R484" s="22"/>
    </row>
    <row r="485" spans="1:18">
      <c r="A485" s="25"/>
      <c r="B485" s="24"/>
      <c r="D485" s="22" t="s">
        <v>618</v>
      </c>
      <c r="E485" s="23" t="str">
        <f t="shared" si="26"/>
        <v>T0.15_AlCu雙導鋁(含導電膠)</v>
      </c>
      <c r="F485" s="53" t="str">
        <f>D485&amp;$A$465</f>
        <v>T0.15_AlCu</v>
      </c>
      <c r="G485" s="54" t="s">
        <v>652</v>
      </c>
      <c r="H485" s="22"/>
      <c r="I485" s="22"/>
      <c r="J485" s="22"/>
      <c r="K485" s="22"/>
      <c r="L485" s="44"/>
      <c r="M485" s="44"/>
      <c r="N485" s="37"/>
      <c r="O485" s="22"/>
      <c r="P485" s="22"/>
      <c r="Q485" s="22"/>
      <c r="R485" s="22"/>
    </row>
    <row r="486" spans="1:18">
      <c r="A486" s="25"/>
      <c r="B486" s="24"/>
      <c r="D486" s="22"/>
      <c r="E486" s="23" t="str">
        <f t="shared" si="26"/>
        <v>T0.15_AlCu軟銅_不含背膠</v>
      </c>
      <c r="F486" s="53" t="str">
        <f>D485&amp;$A$465</f>
        <v>T0.15_AlCu</v>
      </c>
      <c r="G486" s="55" t="s">
        <v>660</v>
      </c>
      <c r="H486" s="22"/>
      <c r="I486" s="22"/>
      <c r="J486" s="22"/>
      <c r="K486" s="22"/>
      <c r="L486" s="44"/>
      <c r="M486" s="44"/>
      <c r="N486" s="37"/>
      <c r="O486" s="22"/>
      <c r="P486" s="22"/>
      <c r="Q486" s="22"/>
      <c r="R486" s="22"/>
    </row>
    <row r="487" spans="1:18">
      <c r="A487" s="25"/>
      <c r="B487" s="24"/>
      <c r="D487" s="22"/>
      <c r="E487" s="23" t="str">
        <f t="shared" si="26"/>
        <v>T0.15_AlCuAL_Mylar_不含背膠</v>
      </c>
      <c r="F487" s="53" t="str">
        <f>D485&amp;$A$465</f>
        <v>T0.15_AlCu</v>
      </c>
      <c r="G487" s="23" t="s">
        <v>658</v>
      </c>
      <c r="H487" s="22"/>
      <c r="I487" s="22"/>
      <c r="J487" s="22"/>
      <c r="K487" s="22"/>
      <c r="L487" s="44"/>
      <c r="M487" s="44"/>
      <c r="N487" s="37"/>
      <c r="O487" s="22"/>
      <c r="P487" s="22"/>
      <c r="Q487" s="22"/>
      <c r="R487" s="22"/>
    </row>
    <row r="488" spans="1:18">
      <c r="A488" s="25"/>
      <c r="B488" s="24"/>
      <c r="D488" s="152"/>
      <c r="E488" s="153" t="str">
        <f t="shared" si="26"/>
        <v>T0.15_AlCuCu_Mylar_不含背膠</v>
      </c>
      <c r="F488" s="159" t="str">
        <f>D485&amp;$A$465</f>
        <v>T0.15_AlCu</v>
      </c>
      <c r="G488" s="153" t="s">
        <v>1036</v>
      </c>
      <c r="H488" s="22"/>
      <c r="I488" s="22"/>
      <c r="J488" s="22"/>
      <c r="K488" s="22"/>
      <c r="L488" s="44"/>
      <c r="M488" s="44"/>
      <c r="N488" s="37"/>
      <c r="O488" s="22"/>
      <c r="P488" s="22"/>
      <c r="Q488" s="22"/>
      <c r="R488" s="22"/>
    </row>
    <row r="489" spans="1:18">
      <c r="A489" s="26"/>
      <c r="B489" s="24"/>
      <c r="D489" s="22"/>
      <c r="E489" s="23" t="str">
        <f t="shared" si="26"/>
        <v>Other_Fill_ME_Remark</v>
      </c>
      <c r="F489" s="53"/>
      <c r="G489" s="23" t="s">
        <v>889</v>
      </c>
      <c r="H489" s="22"/>
      <c r="I489" s="22"/>
      <c r="J489" s="22"/>
      <c r="K489" s="22"/>
      <c r="L489" s="44"/>
      <c r="M489" s="44"/>
      <c r="N489" s="37"/>
      <c r="O489" s="22"/>
      <c r="P489" s="22"/>
      <c r="Q489" s="22"/>
      <c r="R489" s="22"/>
    </row>
    <row r="490" spans="1:18">
      <c r="A490" s="26"/>
      <c r="B490" s="24"/>
      <c r="D490" s="22"/>
      <c r="E490" s="23" t="str">
        <f t="shared" si="26"/>
        <v/>
      </c>
      <c r="F490" s="23"/>
      <c r="G490" s="23"/>
      <c r="H490" s="22"/>
      <c r="I490" s="22"/>
      <c r="J490" s="22"/>
      <c r="K490" s="22"/>
      <c r="L490" s="22"/>
      <c r="M490" s="22"/>
      <c r="N490" s="37"/>
      <c r="O490" s="22"/>
      <c r="P490" s="22"/>
      <c r="Q490" s="22"/>
      <c r="R490" s="22"/>
    </row>
    <row r="491" spans="1:18">
      <c r="A491" s="26"/>
      <c r="B491" s="24"/>
      <c r="D491" s="22" t="s">
        <v>1037</v>
      </c>
      <c r="E491" s="23" t="str">
        <f t="shared" si="26"/>
        <v>T0.20_AlCu雙導鋁(含導電膠)</v>
      </c>
      <c r="F491" s="23" t="str">
        <f>D491&amp;$A$465</f>
        <v>T0.20_AlCu</v>
      </c>
      <c r="G491" s="23" t="s">
        <v>652</v>
      </c>
      <c r="H491" s="22"/>
      <c r="I491" s="22"/>
      <c r="J491" s="22"/>
      <c r="K491" s="22"/>
      <c r="L491" s="22"/>
      <c r="M491" s="22"/>
      <c r="N491" s="37"/>
      <c r="O491" s="22"/>
      <c r="P491" s="22"/>
      <c r="Q491" s="22"/>
      <c r="R491" s="22"/>
    </row>
    <row r="492" spans="1:18">
      <c r="A492" s="26"/>
      <c r="B492" s="24"/>
      <c r="D492" s="22"/>
      <c r="E492" s="23" t="str">
        <f t="shared" si="26"/>
        <v>Other_Fill_ME_Remark</v>
      </c>
      <c r="F492" s="23"/>
      <c r="G492" s="23" t="s">
        <v>527</v>
      </c>
      <c r="H492" s="22"/>
      <c r="I492" s="22"/>
      <c r="J492" s="22"/>
      <c r="K492" s="22"/>
      <c r="L492" s="22"/>
      <c r="M492" s="22"/>
      <c r="N492" s="37"/>
      <c r="O492" s="22"/>
      <c r="P492" s="22"/>
      <c r="Q492" s="22"/>
      <c r="R492" s="22"/>
    </row>
    <row r="493" spans="1:18">
      <c r="A493" s="26"/>
      <c r="B493" s="24"/>
      <c r="D493" s="22"/>
      <c r="E493" s="23"/>
      <c r="F493" s="23"/>
      <c r="G493" s="23"/>
      <c r="H493" s="22"/>
      <c r="I493" s="22"/>
      <c r="J493" s="22"/>
      <c r="K493" s="22"/>
      <c r="L493" s="22"/>
      <c r="M493" s="22"/>
      <c r="N493" s="37"/>
      <c r="O493" s="22"/>
      <c r="P493" s="22"/>
      <c r="Q493" s="22"/>
      <c r="R493" s="22"/>
    </row>
    <row r="494" spans="1:18">
      <c r="A494" s="26"/>
      <c r="B494" s="24"/>
      <c r="D494" s="22" t="s">
        <v>625</v>
      </c>
      <c r="E494" s="23" t="str">
        <f t="shared" ref="E494:E495" si="27">F494&amp;G494</f>
        <v>T0.25_AlCu雙導銅(含導電膠)</v>
      </c>
      <c r="F494" s="23" t="str">
        <f>D494&amp;$A$465</f>
        <v>T0.25_AlCu</v>
      </c>
      <c r="G494" s="56" t="s">
        <v>653</v>
      </c>
      <c r="H494" s="22"/>
      <c r="I494" s="22"/>
      <c r="J494" s="22"/>
      <c r="K494" s="22"/>
      <c r="L494" s="22"/>
      <c r="M494" s="22"/>
      <c r="N494" s="37"/>
      <c r="O494" s="22"/>
      <c r="P494" s="22"/>
      <c r="Q494" s="22"/>
      <c r="R494" s="22"/>
    </row>
    <row r="495" spans="1:18">
      <c r="A495" s="26"/>
      <c r="B495" s="24"/>
      <c r="D495" s="22"/>
      <c r="E495" s="23" t="str">
        <f t="shared" si="27"/>
        <v>Other_Fill_ME_Remark</v>
      </c>
      <c r="F495" s="23"/>
      <c r="G495" s="23" t="s">
        <v>911</v>
      </c>
      <c r="H495" s="22"/>
      <c r="I495" s="22"/>
      <c r="J495" s="22"/>
      <c r="K495" s="22"/>
      <c r="L495" s="22"/>
      <c r="M495" s="22"/>
      <c r="N495" s="37"/>
      <c r="O495" s="22"/>
      <c r="P495" s="22"/>
      <c r="Q495" s="22"/>
      <c r="R495" s="22"/>
    </row>
    <row r="496" spans="1:18">
      <c r="A496" s="26"/>
      <c r="B496" s="24"/>
      <c r="D496" s="22"/>
      <c r="E496" s="23" t="str">
        <f t="shared" si="26"/>
        <v>0</v>
      </c>
      <c r="F496" s="23"/>
      <c r="G496" s="23">
        <v>0</v>
      </c>
      <c r="H496" s="22"/>
      <c r="I496" s="22"/>
      <c r="J496" s="22"/>
      <c r="K496" s="22"/>
      <c r="L496" s="22"/>
      <c r="M496" s="22"/>
      <c r="N496" s="37"/>
      <c r="O496" s="22"/>
      <c r="P496" s="22"/>
      <c r="Q496" s="22"/>
      <c r="R496" s="22"/>
    </row>
    <row r="497" spans="1:18">
      <c r="H497" s="22"/>
      <c r="I497" s="22"/>
      <c r="J497" s="22"/>
      <c r="K497" s="22"/>
      <c r="L497" s="22"/>
      <c r="M497" s="22"/>
      <c r="N497" s="37"/>
      <c r="O497" s="22"/>
      <c r="P497" s="22"/>
      <c r="Q497" s="22"/>
      <c r="R497" s="22"/>
    </row>
    <row r="498" spans="1:18">
      <c r="A498" s="207" t="s">
        <v>1254</v>
      </c>
      <c r="B498" s="24"/>
      <c r="D498" s="26"/>
      <c r="E498" s="27"/>
      <c r="F498" s="24"/>
      <c r="G498" s="41"/>
      <c r="H498" s="22"/>
      <c r="I498" s="22"/>
      <c r="J498" s="22"/>
      <c r="K498" s="22"/>
      <c r="L498" s="155"/>
      <c r="M498" s="155"/>
      <c r="N498" s="37"/>
      <c r="O498" s="22"/>
      <c r="P498" s="22"/>
      <c r="Q498" s="22"/>
      <c r="R498" s="22"/>
    </row>
    <row r="499" spans="1:18">
      <c r="A499" s="29" t="s">
        <v>1253</v>
      </c>
      <c r="B499" s="30" t="s">
        <v>1038</v>
      </c>
      <c r="D499" s="29" t="s">
        <v>1039</v>
      </c>
      <c r="E499" s="29" t="s">
        <v>1040</v>
      </c>
      <c r="F499" s="30" t="s">
        <v>1038</v>
      </c>
      <c r="G499" s="31" t="s">
        <v>1253</v>
      </c>
      <c r="H499" s="22"/>
      <c r="I499" s="22"/>
      <c r="J499" s="33"/>
      <c r="K499" s="33"/>
      <c r="L499" s="33"/>
      <c r="M499" s="33"/>
      <c r="N499" s="37"/>
      <c r="O499" s="33"/>
      <c r="P499" s="33"/>
      <c r="Q499" s="33"/>
      <c r="R499" s="33"/>
    </row>
    <row r="500" spans="1:18">
      <c r="A500" s="22">
        <v>1</v>
      </c>
      <c r="B500" s="23" t="str">
        <f>D500&amp;$A$499</f>
        <v>T0.3Lens</v>
      </c>
      <c r="D500" s="22" t="s">
        <v>983</v>
      </c>
      <c r="E500" s="23" t="str">
        <f>F500&amp;G500</f>
        <v>T0.3Lens雙面硬化 0.3 PMMA</v>
      </c>
      <c r="F500" s="23" t="str">
        <f>D500&amp;$A$499</f>
        <v>T0.3Lens</v>
      </c>
      <c r="G500" s="35" t="s">
        <v>594</v>
      </c>
      <c r="H500" s="22"/>
      <c r="I500" s="22"/>
      <c r="J500" s="44"/>
      <c r="K500" s="44"/>
      <c r="L500" s="44"/>
      <c r="M500" s="44"/>
      <c r="N500" s="37"/>
      <c r="O500" s="44"/>
      <c r="P500" s="44"/>
      <c r="Q500" s="22"/>
      <c r="R500" s="22"/>
    </row>
    <row r="501" spans="1:18">
      <c r="A501" s="22">
        <v>2</v>
      </c>
      <c r="B501" s="23" t="str">
        <f>D503&amp;$A$499</f>
        <v>T0.4Lens</v>
      </c>
      <c r="D501" s="22"/>
      <c r="E501" s="23" t="str">
        <f>F501&amp;G501</f>
        <v>T0.3LensOther_Fill_ME_Remark</v>
      </c>
      <c r="F501" s="23" t="str">
        <f>D500&amp;$A$499</f>
        <v>T0.3Lens</v>
      </c>
      <c r="G501" s="35" t="s">
        <v>911</v>
      </c>
      <c r="H501" s="22"/>
      <c r="I501" s="22"/>
      <c r="J501" s="44"/>
      <c r="K501" s="44"/>
      <c r="L501" s="44"/>
      <c r="M501" s="44"/>
      <c r="N501" s="37"/>
      <c r="O501" s="44"/>
      <c r="P501" s="44"/>
      <c r="Q501" s="22"/>
      <c r="R501" s="22"/>
    </row>
    <row r="502" spans="1:18">
      <c r="A502" s="22">
        <v>3</v>
      </c>
      <c r="B502" s="23" t="str">
        <f>D506&amp;$A$499</f>
        <v>T0.5Lens</v>
      </c>
      <c r="D502" s="22"/>
      <c r="E502" s="23"/>
      <c r="F502" s="23"/>
      <c r="H502" s="22"/>
      <c r="I502" s="22"/>
      <c r="J502" s="44"/>
      <c r="K502" s="44"/>
      <c r="L502" s="44"/>
      <c r="M502" s="44"/>
      <c r="N502" s="37"/>
      <c r="O502" s="44"/>
      <c r="P502" s="44"/>
      <c r="Q502" s="22"/>
      <c r="R502" s="22"/>
    </row>
    <row r="503" spans="1:18">
      <c r="A503" s="22">
        <v>4</v>
      </c>
      <c r="B503" s="23" t="str">
        <f>D509&amp;$A$499</f>
        <v>T0.8Lens</v>
      </c>
      <c r="D503" s="22" t="s">
        <v>1041</v>
      </c>
      <c r="E503" s="23" t="str">
        <f t="shared" ref="E503:E513" si="28">F503&amp;G503</f>
        <v>T0.4Lens雙面硬化 0.4 PMMA</v>
      </c>
      <c r="F503" s="23" t="str">
        <f>D503&amp;$A$499</f>
        <v>T0.4Lens</v>
      </c>
      <c r="G503" s="35" t="s">
        <v>595</v>
      </c>
      <c r="H503" s="22"/>
      <c r="I503" s="22"/>
      <c r="J503" s="44"/>
      <c r="K503" s="44"/>
      <c r="L503" s="44"/>
      <c r="M503" s="44"/>
      <c r="N503" s="37"/>
      <c r="O503" s="44"/>
      <c r="P503" s="44"/>
      <c r="Q503" s="22"/>
      <c r="R503" s="22"/>
    </row>
    <row r="504" spans="1:18">
      <c r="A504" s="22">
        <v>5</v>
      </c>
      <c r="B504" s="23" t="str">
        <f>D512&amp;$A$499</f>
        <v>T1.0Lens</v>
      </c>
      <c r="D504" s="22"/>
      <c r="E504" s="23" t="str">
        <f t="shared" si="28"/>
        <v>T0.4LensOther_Fill_ME_Remark</v>
      </c>
      <c r="F504" s="23" t="str">
        <f>D503&amp;$A$499</f>
        <v>T0.4Lens</v>
      </c>
      <c r="G504" s="35" t="s">
        <v>911</v>
      </c>
      <c r="H504" s="22"/>
      <c r="I504" s="22"/>
      <c r="J504" s="22"/>
      <c r="K504" s="44"/>
      <c r="L504" s="44"/>
      <c r="M504" s="44"/>
      <c r="N504" s="37"/>
      <c r="O504" s="44"/>
      <c r="P504" s="44"/>
      <c r="Q504" s="22"/>
      <c r="R504" s="22"/>
    </row>
    <row r="505" spans="1:18">
      <c r="A505" s="22">
        <v>6</v>
      </c>
      <c r="B505" s="23" t="s">
        <v>604</v>
      </c>
      <c r="D505" s="22"/>
      <c r="E505" s="23"/>
      <c r="F505" s="23"/>
      <c r="G505" s="35"/>
      <c r="H505" s="22"/>
      <c r="I505" s="22"/>
      <c r="J505" s="22"/>
      <c r="K505" s="44"/>
      <c r="L505" s="44"/>
      <c r="M505" s="44"/>
      <c r="N505" s="37"/>
      <c r="O505" s="44"/>
      <c r="P505" s="44"/>
      <c r="Q505" s="22"/>
      <c r="R505" s="22"/>
    </row>
    <row r="506" spans="1:18">
      <c r="A506" s="26"/>
      <c r="B506" s="24"/>
      <c r="D506" s="22" t="s">
        <v>1042</v>
      </c>
      <c r="E506" s="23" t="str">
        <f t="shared" si="28"/>
        <v>T0.5Lens雙面硬化 0.5 PMMA</v>
      </c>
      <c r="F506" s="23" t="str">
        <f>D506&amp;$A$499</f>
        <v>T0.5Lens</v>
      </c>
      <c r="G506" s="46" t="s">
        <v>596</v>
      </c>
      <c r="H506" s="22"/>
      <c r="I506" s="22"/>
      <c r="J506" s="48"/>
      <c r="K506" s="44"/>
      <c r="L506" s="44"/>
      <c r="M506" s="44"/>
      <c r="N506" s="37"/>
      <c r="O506" s="44"/>
      <c r="P506" s="44"/>
      <c r="Q506" s="22"/>
      <c r="R506" s="22"/>
    </row>
    <row r="507" spans="1:18">
      <c r="A507" s="26"/>
      <c r="B507" s="24"/>
      <c r="D507" s="22"/>
      <c r="E507" s="23" t="str">
        <f t="shared" si="28"/>
        <v>T0.5LensOther_Fill_ME_Remark</v>
      </c>
      <c r="F507" s="23" t="str">
        <f>D506&amp;$A$499</f>
        <v>T0.5Lens</v>
      </c>
      <c r="G507" s="35" t="s">
        <v>911</v>
      </c>
      <c r="H507" s="22"/>
      <c r="I507" s="22"/>
      <c r="J507" s="48"/>
      <c r="K507" s="44"/>
      <c r="L507" s="44"/>
      <c r="M507" s="44"/>
      <c r="N507" s="37"/>
      <c r="O507" s="44"/>
      <c r="P507" s="44"/>
      <c r="Q507" s="22"/>
      <c r="R507" s="22"/>
    </row>
    <row r="508" spans="1:18">
      <c r="A508" s="26"/>
      <c r="B508" s="24"/>
      <c r="D508" s="22"/>
      <c r="E508" s="23"/>
      <c r="F508" s="23"/>
      <c r="G508" s="46"/>
      <c r="H508" s="22"/>
      <c r="I508" s="22"/>
      <c r="J508" s="48"/>
      <c r="K508" s="44"/>
      <c r="L508" s="44"/>
      <c r="M508" s="44"/>
      <c r="N508" s="37"/>
      <c r="O508" s="44"/>
      <c r="P508" s="44"/>
      <c r="Q508" s="22"/>
      <c r="R508" s="22"/>
    </row>
    <row r="509" spans="1:18">
      <c r="A509" s="26"/>
      <c r="B509" s="24"/>
      <c r="D509" s="22" t="s">
        <v>1043</v>
      </c>
      <c r="E509" s="23" t="str">
        <f t="shared" si="28"/>
        <v>T0.8Lens雙面硬化 0.8 PMMA</v>
      </c>
      <c r="F509" s="23" t="str">
        <f>D509&amp;$A$499</f>
        <v>T0.8Lens</v>
      </c>
      <c r="G509" s="46" t="s">
        <v>597</v>
      </c>
      <c r="H509" s="22"/>
      <c r="I509" s="22"/>
      <c r="J509" s="48"/>
      <c r="K509" s="44"/>
      <c r="L509" s="44"/>
      <c r="M509" s="44"/>
      <c r="N509" s="37"/>
      <c r="O509" s="44"/>
      <c r="P509" s="44"/>
      <c r="Q509" s="22"/>
      <c r="R509" s="22"/>
    </row>
    <row r="510" spans="1:18">
      <c r="D510" s="22"/>
      <c r="E510" s="23" t="str">
        <f t="shared" si="28"/>
        <v>T0.8LensOther_Fill_ME_Remark</v>
      </c>
      <c r="F510" s="23" t="str">
        <f>D509&amp;$A$499</f>
        <v>T0.8Lens</v>
      </c>
      <c r="G510" s="35" t="s">
        <v>911</v>
      </c>
      <c r="H510" s="22"/>
      <c r="I510" s="22"/>
      <c r="J510" s="48"/>
      <c r="K510" s="44"/>
      <c r="L510" s="44"/>
      <c r="M510" s="44"/>
      <c r="N510" s="37"/>
      <c r="O510" s="44"/>
      <c r="P510" s="44"/>
      <c r="Q510" s="22"/>
      <c r="R510" s="22"/>
    </row>
    <row r="511" spans="1:18">
      <c r="D511" s="22"/>
      <c r="E511" s="23"/>
      <c r="F511" s="23"/>
      <c r="G511" s="46"/>
      <c r="H511" s="22"/>
      <c r="I511" s="22"/>
      <c r="J511" s="48"/>
      <c r="K511" s="44"/>
      <c r="L511" s="44"/>
      <c r="M511" s="44"/>
      <c r="N511" s="37"/>
      <c r="O511" s="44"/>
      <c r="P511" s="44"/>
      <c r="Q511" s="22"/>
      <c r="R511" s="22"/>
    </row>
    <row r="512" spans="1:18">
      <c r="D512" s="22" t="s">
        <v>1044</v>
      </c>
      <c r="E512" s="23" t="str">
        <f t="shared" si="28"/>
        <v>T1.0Lens雙面硬化 1.0 PMMA</v>
      </c>
      <c r="F512" s="23" t="str">
        <f>D512&amp;$A$499</f>
        <v>T1.0Lens</v>
      </c>
      <c r="G512" s="46" t="s">
        <v>598</v>
      </c>
      <c r="H512" s="22"/>
      <c r="I512" s="22"/>
      <c r="J512" s="48"/>
      <c r="K512" s="22"/>
      <c r="L512" s="22"/>
      <c r="M512" s="22"/>
      <c r="N512" s="37"/>
      <c r="O512" s="22"/>
      <c r="P512" s="22"/>
      <c r="Q512" s="22"/>
      <c r="R512" s="22"/>
    </row>
    <row r="513" spans="1:18">
      <c r="D513" s="22"/>
      <c r="E513" s="23" t="str">
        <f t="shared" si="28"/>
        <v>T1.0LensOther_Fill_ME_Remark</v>
      </c>
      <c r="F513" s="23" t="str">
        <f>D512&amp;$A$499</f>
        <v>T1.0Lens</v>
      </c>
      <c r="G513" s="35" t="s">
        <v>911</v>
      </c>
      <c r="H513" s="22"/>
      <c r="I513" s="22"/>
      <c r="J513" s="22"/>
      <c r="K513" s="22"/>
      <c r="L513" s="22"/>
      <c r="M513" s="22"/>
      <c r="N513" s="37"/>
      <c r="O513" s="22"/>
      <c r="P513" s="22"/>
      <c r="Q513" s="22"/>
      <c r="R513" s="22"/>
    </row>
    <row r="514" spans="1:18">
      <c r="D514" s="22"/>
      <c r="E514" s="22"/>
      <c r="F514" s="23"/>
      <c r="G514" s="35"/>
      <c r="H514" s="22"/>
      <c r="I514" s="22"/>
      <c r="J514" s="22"/>
      <c r="K514" s="22"/>
      <c r="L514" s="22"/>
      <c r="M514" s="22"/>
      <c r="N514" s="37"/>
      <c r="O514" s="22"/>
      <c r="P514" s="22"/>
      <c r="Q514" s="22"/>
      <c r="R514" s="22"/>
    </row>
    <row r="515" spans="1:18">
      <c r="H515" s="22"/>
      <c r="I515" s="22"/>
      <c r="J515" s="22"/>
      <c r="K515" s="22"/>
      <c r="L515" s="22"/>
      <c r="M515" s="22"/>
      <c r="N515" s="37"/>
      <c r="O515" s="22"/>
      <c r="P515" s="22"/>
      <c r="Q515" s="22"/>
      <c r="R515" s="22"/>
    </row>
    <row r="516" spans="1:18">
      <c r="A516" s="24"/>
      <c r="B516" s="24"/>
      <c r="D516" s="26"/>
      <c r="E516" s="27"/>
      <c r="F516" s="24"/>
      <c r="G516" s="41"/>
      <c r="H516" s="22"/>
      <c r="I516" s="22"/>
      <c r="J516" s="22"/>
      <c r="K516" s="22"/>
      <c r="L516" s="155"/>
      <c r="M516" s="155"/>
      <c r="N516" s="37"/>
      <c r="O516" s="22"/>
      <c r="P516" s="22"/>
      <c r="Q516" s="22"/>
      <c r="R516" s="22"/>
    </row>
    <row r="517" spans="1:18">
      <c r="A517" s="29" t="s">
        <v>1045</v>
      </c>
      <c r="B517" s="30" t="s">
        <v>1038</v>
      </c>
      <c r="D517" s="29" t="s">
        <v>1039</v>
      </c>
      <c r="E517" s="29" t="s">
        <v>1040</v>
      </c>
      <c r="F517" s="30" t="s">
        <v>1046</v>
      </c>
      <c r="G517" s="29" t="s">
        <v>1046</v>
      </c>
      <c r="H517" s="22"/>
      <c r="I517" s="22"/>
      <c r="J517" s="33"/>
      <c r="K517" s="33"/>
      <c r="L517" s="33"/>
      <c r="M517" s="33"/>
      <c r="N517" s="37"/>
      <c r="O517" s="33"/>
      <c r="P517" s="33"/>
      <c r="Q517" s="33"/>
      <c r="R517" s="33"/>
    </row>
    <row r="518" spans="1:18">
      <c r="A518" s="155">
        <v>1</v>
      </c>
      <c r="B518" s="160" t="s">
        <v>1047</v>
      </c>
      <c r="D518" s="22" t="s">
        <v>1048</v>
      </c>
      <c r="E518" s="160" t="str">
        <f>F518&amp;G518</f>
        <v>非阻燃醋酸膠布T0.12Acetate</v>
      </c>
      <c r="F518" s="160" t="s">
        <v>1047</v>
      </c>
      <c r="G518" s="160" t="s">
        <v>1049</v>
      </c>
      <c r="H518" s="22"/>
      <c r="I518" s="22"/>
      <c r="J518" s="44"/>
      <c r="K518" s="44"/>
      <c r="L518" s="44"/>
      <c r="M518" s="44"/>
      <c r="N518" s="37"/>
      <c r="O518" s="44"/>
      <c r="P518" s="44"/>
      <c r="Q518" s="22"/>
      <c r="R518" s="22"/>
    </row>
    <row r="519" spans="1:18">
      <c r="A519" s="22">
        <v>2</v>
      </c>
      <c r="B519" s="160" t="s">
        <v>733</v>
      </c>
      <c r="D519" s="22" t="s">
        <v>625</v>
      </c>
      <c r="E519" s="160" t="str">
        <f>F519&amp;G519</f>
        <v>非阻燃醋酸膠布T0.25Acetate</v>
      </c>
      <c r="F519" s="160" t="s">
        <v>732</v>
      </c>
      <c r="G519" s="160" t="s">
        <v>1050</v>
      </c>
      <c r="H519" s="22"/>
      <c r="I519" s="22"/>
      <c r="J519" s="44"/>
      <c r="K519" s="44"/>
      <c r="L519" s="44"/>
      <c r="M519" s="44"/>
      <c r="N519" s="37"/>
      <c r="O519" s="44"/>
      <c r="P519" s="44"/>
      <c r="Q519" s="22"/>
      <c r="R519" s="22"/>
    </row>
    <row r="520" spans="1:18">
      <c r="A520" s="22">
        <v>3</v>
      </c>
      <c r="B520" s="23" t="s">
        <v>604</v>
      </c>
      <c r="D520" s="22" t="s">
        <v>625</v>
      </c>
      <c r="E520" s="160" t="str">
        <f>F520&amp;G520</f>
        <v>阻燃醋酸膠布T0.25Acetate</v>
      </c>
      <c r="F520" s="160" t="s">
        <v>733</v>
      </c>
      <c r="G520" s="160" t="s">
        <v>1050</v>
      </c>
      <c r="H520" s="22"/>
      <c r="I520" s="22"/>
      <c r="J520" s="44"/>
      <c r="K520" s="44"/>
      <c r="L520" s="44"/>
      <c r="M520" s="44"/>
      <c r="N520" s="37"/>
      <c r="O520" s="44"/>
      <c r="P520" s="44"/>
      <c r="Q520" s="22"/>
      <c r="R520" s="22"/>
    </row>
    <row r="521" spans="1:18">
      <c r="A521" s="22">
        <v>4</v>
      </c>
      <c r="B521" s="23"/>
      <c r="D521" s="22"/>
      <c r="E521" s="23"/>
      <c r="F521" s="23"/>
      <c r="G521" s="35" t="s">
        <v>911</v>
      </c>
      <c r="H521" s="22"/>
      <c r="I521" s="22"/>
      <c r="J521" s="44"/>
      <c r="K521" s="44"/>
      <c r="L521" s="44"/>
      <c r="M521" s="44"/>
      <c r="N521" s="37"/>
      <c r="O521" s="44"/>
      <c r="P521" s="44"/>
      <c r="Q521" s="22"/>
      <c r="R521" s="22"/>
    </row>
    <row r="522" spans="1:18">
      <c r="D522" s="22"/>
      <c r="E522" s="23"/>
      <c r="F522" s="23"/>
      <c r="G522" s="35"/>
      <c r="H522" s="22"/>
      <c r="I522" s="22"/>
      <c r="J522" s="22"/>
      <c r="K522" s="44"/>
      <c r="L522" s="44"/>
      <c r="M522" s="44"/>
      <c r="N522" s="37"/>
      <c r="O522" s="44"/>
      <c r="P522" s="44"/>
      <c r="Q522" s="22"/>
      <c r="R522" s="22"/>
    </row>
    <row r="523" spans="1:18">
      <c r="H523" s="22"/>
      <c r="I523" s="22"/>
      <c r="J523" s="22"/>
      <c r="K523" s="22"/>
      <c r="L523" s="22"/>
      <c r="M523" s="22"/>
      <c r="N523" s="37"/>
      <c r="O523" s="22"/>
      <c r="P523" s="22"/>
      <c r="Q523" s="22"/>
      <c r="R523" s="22"/>
    </row>
    <row r="524" spans="1:18">
      <c r="A524" s="24"/>
      <c r="B524" s="24"/>
      <c r="D524" s="26"/>
      <c r="E524" s="27"/>
      <c r="F524" s="24"/>
      <c r="G524" s="41"/>
      <c r="H524" s="22"/>
      <c r="I524" s="22"/>
      <c r="J524" s="22"/>
      <c r="K524" s="22"/>
      <c r="L524" s="155"/>
      <c r="M524" s="155"/>
      <c r="N524" s="37"/>
      <c r="O524" s="22"/>
      <c r="P524" s="22"/>
      <c r="Q524" s="22"/>
      <c r="R524" s="22"/>
    </row>
    <row r="525" spans="1:18">
      <c r="A525" s="29" t="s">
        <v>736</v>
      </c>
      <c r="B525" s="30" t="s">
        <v>495</v>
      </c>
      <c r="D525" s="29" t="s">
        <v>101</v>
      </c>
      <c r="E525" s="29" t="s">
        <v>867</v>
      </c>
      <c r="F525" s="30" t="s">
        <v>1051</v>
      </c>
      <c r="G525" s="29" t="s">
        <v>1051</v>
      </c>
      <c r="H525" s="22"/>
      <c r="I525" s="22"/>
      <c r="J525" s="33"/>
      <c r="K525" s="33"/>
      <c r="L525" s="33"/>
      <c r="M525" s="33"/>
      <c r="N525" s="37"/>
      <c r="O525" s="33"/>
      <c r="P525" s="33"/>
      <c r="Q525" s="33"/>
      <c r="R525" s="33"/>
    </row>
    <row r="526" spans="1:18">
      <c r="A526" s="22">
        <v>1</v>
      </c>
      <c r="B526" s="23" t="s">
        <v>1052</v>
      </c>
      <c r="D526" s="22" t="s">
        <v>625</v>
      </c>
      <c r="E526" s="160" t="str">
        <f>F526&amp;G526</f>
        <v>非阻燃黑色不織布T0.25Non_Woven</v>
      </c>
      <c r="F526" s="23" t="s">
        <v>1052</v>
      </c>
      <c r="G526" s="160" t="s">
        <v>1053</v>
      </c>
      <c r="H526" s="22"/>
      <c r="I526" s="22"/>
      <c r="J526" s="44"/>
      <c r="K526" s="44"/>
      <c r="L526" s="44"/>
      <c r="M526" s="44"/>
      <c r="N526" s="37"/>
      <c r="O526" s="44"/>
      <c r="P526" s="44"/>
      <c r="Q526" s="22"/>
      <c r="R526" s="22"/>
    </row>
    <row r="527" spans="1:18">
      <c r="A527" s="22">
        <v>2</v>
      </c>
      <c r="B527" s="23" t="s">
        <v>1054</v>
      </c>
      <c r="D527" s="22" t="s">
        <v>998</v>
      </c>
      <c r="E527" s="160" t="str">
        <f>F527&amp;G527</f>
        <v>阻燃黑色不織布T0.25Non_Woven</v>
      </c>
      <c r="F527" s="23" t="s">
        <v>1054</v>
      </c>
      <c r="G527" s="160" t="s">
        <v>1055</v>
      </c>
      <c r="H527" s="22"/>
      <c r="I527" s="22"/>
      <c r="J527" s="44"/>
      <c r="K527" s="44"/>
      <c r="L527" s="44"/>
      <c r="M527" s="44"/>
      <c r="N527" s="37"/>
      <c r="O527" s="44"/>
      <c r="P527" s="44"/>
      <c r="Q527" s="22"/>
      <c r="R527" s="22"/>
    </row>
    <row r="528" spans="1:18">
      <c r="A528" s="22">
        <v>3</v>
      </c>
      <c r="B528" s="23" t="s">
        <v>604</v>
      </c>
      <c r="D528" s="22" t="s">
        <v>1056</v>
      </c>
      <c r="E528" s="160" t="str">
        <f>F528&amp;G528</f>
        <v>阻燃黑色不織布T0.35Non_Woven</v>
      </c>
      <c r="F528" s="160" t="s">
        <v>1054</v>
      </c>
      <c r="G528" s="160" t="s">
        <v>1057</v>
      </c>
      <c r="H528" s="22"/>
      <c r="I528" s="22"/>
      <c r="J528" s="44"/>
      <c r="K528" s="44"/>
      <c r="L528" s="44"/>
      <c r="M528" s="44"/>
      <c r="N528" s="37"/>
      <c r="O528" s="44"/>
      <c r="P528" s="44"/>
      <c r="Q528" s="22"/>
      <c r="R528" s="22"/>
    </row>
    <row r="529" spans="4:18">
      <c r="D529" s="22"/>
      <c r="E529" s="23"/>
      <c r="F529" s="23">
        <v>0</v>
      </c>
      <c r="G529" s="35" t="s">
        <v>911</v>
      </c>
      <c r="H529" s="22"/>
      <c r="I529" s="22"/>
      <c r="J529" s="44"/>
      <c r="K529" s="44"/>
      <c r="L529" s="44"/>
      <c r="M529" s="44"/>
      <c r="N529" s="37"/>
      <c r="O529" s="44"/>
      <c r="P529" s="44"/>
      <c r="Q529" s="22"/>
      <c r="R529" s="22"/>
    </row>
    <row r="530" spans="4:18">
      <c r="D530" s="22"/>
      <c r="E530" s="23"/>
      <c r="F530" s="23"/>
      <c r="G530" s="35"/>
      <c r="H530" s="22"/>
      <c r="I530" s="22"/>
      <c r="J530" s="22"/>
      <c r="K530" s="44"/>
      <c r="L530" s="44"/>
      <c r="M530" s="44"/>
      <c r="N530" s="37"/>
      <c r="O530" s="44"/>
      <c r="P530" s="44"/>
      <c r="Q530" s="22"/>
      <c r="R530" s="22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207</vt:i4>
      </vt:variant>
    </vt:vector>
  </HeadingPairs>
  <TitlesOfParts>
    <vt:vector size="219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Material EMC</vt:lpstr>
      <vt:lpstr>Material Cable</vt:lpstr>
      <vt:lpstr>Material Packing</vt:lpstr>
      <vt:lpstr>Material Electro-Mechanical</vt:lpstr>
      <vt:lpstr>Material Spec.</vt:lpstr>
      <vt:lpstr>Die Cut Material &amp; Price</vt:lpstr>
      <vt:lpstr>ABS_35percent_PCR</vt:lpstr>
      <vt:lpstr>ABS_65percent_PCR</vt:lpstr>
      <vt:lpstr>ABS_HB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C_GPU_BKT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HDD_SSD_BKT</vt:lpstr>
      <vt:lpstr>HIGH_GLOSS</vt:lpstr>
      <vt:lpstr>Ｈinge</vt:lpstr>
      <vt:lpstr>Housing</vt:lpstr>
      <vt:lpstr>IMR</vt:lpstr>
      <vt:lpstr>Insert_Molding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PC_10percent_GF_with_30percent_PCR</vt:lpstr>
      <vt:lpstr>PC_15percent_CF</vt:lpstr>
      <vt:lpstr>PC_20percent_CF</vt:lpstr>
      <vt:lpstr>PC_20percent_CF_with_30percent_PCR</vt:lpstr>
      <vt:lpstr>PC_20percent_GF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PC_ABS_5percent_Talc_UVS</vt:lpstr>
      <vt:lpstr>PC_ABS_5percent_Talc_with_35percent_PCR</vt:lpstr>
      <vt:lpstr>PC_ABS_8percent_Talc</vt:lpstr>
      <vt:lpstr>PC_ABS_PMMA</vt:lpstr>
      <vt:lpstr>PC_ABS_with_30percent_PCR</vt:lpstr>
      <vt:lpstr>PC_ABS_with_35percent_PCR</vt:lpstr>
      <vt:lpstr>PC_ABS_with_65percent_PCR</vt:lpstr>
      <vt:lpstr>PC_ABS_高光澤高流動</vt:lpstr>
      <vt:lpstr>PC_GF_CF</vt:lpstr>
      <vt:lpstr>PC_with_25percent_PCR</vt:lpstr>
      <vt:lpstr>PC_with_30percent_PCR</vt:lpstr>
      <vt:lpstr>PC_with_50percent_PCR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Shielding_Can</vt:lpstr>
      <vt:lpstr>Silicon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TPU</vt:lpstr>
      <vt:lpstr>UL_Eco_Form</vt:lpstr>
      <vt:lpstr>ULGasket灰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2020-02-20T01:55:58Z</dcterms:modified>
</cp:coreProperties>
</file>