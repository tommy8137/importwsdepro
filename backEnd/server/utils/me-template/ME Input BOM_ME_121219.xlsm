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bookViews>
    <workbookView xWindow="0" yWindow="120" windowWidth="8496" windowHeight="4476" firstSheet="1" activeTab="2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state="hidden" r:id="rId11"/>
    <sheet name="Die Cut Material &amp; Price" sheetId="78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Housing'!$A$3:$A$88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Housing'!$A$3:$A$88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Spec.'!$F$2:$F$5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Housing'!$A$3:$A$88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Housing'!$A$3:$A$88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Spec.'!$E$2:$E$5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Spec.'!$D$2:$D$5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Housing'!$C$132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/>
  <c r="E455" i="78"/>
  <c r="F454" i="78"/>
  <c r="E454" i="78"/>
  <c r="E452" i="78"/>
  <c r="F451" i="78"/>
  <c r="E451" i="78"/>
  <c r="B451" i="78"/>
  <c r="F450" i="78"/>
  <c r="E450" i="78" s="1"/>
  <c r="B450" i="78"/>
  <c r="F449" i="78"/>
  <c r="E449" i="78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/>
  <c r="E393" i="78"/>
  <c r="F392" i="78"/>
  <c r="E392" i="78" s="1"/>
  <c r="F391" i="78"/>
  <c r="E391" i="78"/>
  <c r="F390" i="78"/>
  <c r="E390" i="78" s="1"/>
  <c r="E389" i="78"/>
  <c r="F388" i="78"/>
  <c r="E388" i="78"/>
  <c r="F387" i="78"/>
  <c r="E387" i="78"/>
  <c r="F386" i="78"/>
  <c r="E386" i="78" s="1"/>
  <c r="E385" i="78"/>
  <c r="F384" i="78"/>
  <c r="E384" i="78"/>
  <c r="F383" i="78"/>
  <c r="E383" i="78"/>
  <c r="E382" i="78"/>
  <c r="F381" i="78"/>
  <c r="E381" i="78" s="1"/>
  <c r="F380" i="78"/>
  <c r="E380" i="78" s="1"/>
  <c r="B380" i="78"/>
  <c r="F379" i="78"/>
  <c r="E379" i="78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/>
  <c r="F325" i="78"/>
  <c r="E325" i="78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/>
  <c r="E299" i="78"/>
  <c r="F298" i="78"/>
  <c r="E298" i="78" s="1"/>
  <c r="F297" i="78"/>
  <c r="E297" i="78"/>
  <c r="F296" i="78"/>
  <c r="E296" i="78"/>
  <c r="E295" i="78"/>
  <c r="F294" i="78"/>
  <c r="E294" i="78"/>
  <c r="F293" i="78"/>
  <c r="E293" i="78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/>
  <c r="F249" i="78"/>
  <c r="E249" i="78" s="1"/>
  <c r="F248" i="78"/>
  <c r="E248" i="78" s="1"/>
  <c r="F247" i="78"/>
  <c r="E247" i="78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/>
  <c r="F207" i="78"/>
  <c r="E207" i="78" s="1"/>
  <c r="F206" i="78"/>
  <c r="E206" i="78"/>
  <c r="E205" i="78"/>
  <c r="F204" i="78"/>
  <c r="E204" i="78" s="1"/>
  <c r="F203" i="78"/>
  <c r="E203" i="78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/>
  <c r="F178" i="78"/>
  <c r="E178" i="78" s="1"/>
  <c r="F177" i="78"/>
  <c r="E177" i="78" s="1"/>
  <c r="F176" i="78"/>
  <c r="E176" i="78" s="1"/>
  <c r="F175" i="78"/>
  <c r="E175" i="78" s="1"/>
  <c r="F174" i="78"/>
  <c r="E174" i="78"/>
  <c r="F173" i="78"/>
  <c r="E173" i="78"/>
  <c r="F172" i="78"/>
  <c r="E172" i="78"/>
  <c r="E171" i="78"/>
  <c r="F170" i="78"/>
  <c r="E170" i="78" s="1"/>
  <c r="F169" i="78"/>
  <c r="E169" i="78" s="1"/>
  <c r="F168" i="78"/>
  <c r="E168" i="78"/>
  <c r="F167" i="78"/>
  <c r="E167" i="78"/>
  <c r="F166" i="78"/>
  <c r="E166" i="78"/>
  <c r="F165" i="78"/>
  <c r="E165" i="78"/>
  <c r="F164" i="78"/>
  <c r="E164" i="78"/>
  <c r="F163" i="78"/>
  <c r="E163" i="78"/>
  <c r="F162" i="78"/>
  <c r="E162" i="78"/>
  <c r="F161" i="78"/>
  <c r="E161" i="78" s="1"/>
  <c r="F160" i="78"/>
  <c r="E160" i="78" s="1"/>
  <c r="F159" i="78"/>
  <c r="E159" i="78" s="1"/>
  <c r="F157" i="78"/>
  <c r="E157" i="78" s="1"/>
  <c r="F156" i="78"/>
  <c r="E156" i="78"/>
  <c r="F155" i="78"/>
  <c r="E155" i="78" s="1"/>
  <c r="F154" i="78"/>
  <c r="E154" i="78" s="1"/>
  <c r="F153" i="78"/>
  <c r="E153" i="78" s="1"/>
  <c r="F152" i="78"/>
  <c r="E152" i="78"/>
  <c r="F151" i="78"/>
  <c r="E151" i="78" s="1"/>
  <c r="F150" i="78"/>
  <c r="E150" i="78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/>
  <c r="F123" i="78"/>
  <c r="E123" i="78"/>
  <c r="F122" i="78"/>
  <c r="E122" i="78" s="1"/>
  <c r="F121" i="78"/>
  <c r="E121" i="78"/>
  <c r="F119" i="78"/>
  <c r="E119" i="78" s="1"/>
  <c r="F118" i="78"/>
  <c r="E118" i="78" s="1"/>
  <c r="F117" i="78"/>
  <c r="E117" i="78"/>
  <c r="F116" i="78"/>
  <c r="E116" i="78"/>
  <c r="F115" i="78"/>
  <c r="E115" i="78"/>
  <c r="F114" i="78"/>
  <c r="E114" i="78" s="1"/>
  <c r="F113" i="78"/>
  <c r="E113" i="78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/>
  <c r="B105" i="78"/>
  <c r="F104" i="78"/>
  <c r="E104" i="78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/>
  <c r="B99" i="78"/>
  <c r="F98" i="78"/>
  <c r="E98" i="78"/>
  <c r="B98" i="78"/>
  <c r="E97" i="78"/>
  <c r="B97" i="78"/>
  <c r="F96" i="78"/>
  <c r="E96" i="78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/>
  <c r="F70" i="78"/>
  <c r="E70" i="78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/>
  <c r="F43" i="78"/>
  <c r="E43" i="78"/>
  <c r="F42" i="78"/>
  <c r="E42" i="78"/>
  <c r="F41" i="78"/>
  <c r="E41" i="78"/>
  <c r="F40" i="78"/>
  <c r="E40" i="78"/>
  <c r="F39" i="78"/>
  <c r="E39" i="78"/>
  <c r="F37" i="78"/>
  <c r="E37" i="78"/>
  <c r="F36" i="78"/>
  <c r="E36" i="78" s="1"/>
  <c r="F35" i="78"/>
  <c r="E35" i="78"/>
  <c r="F34" i="78"/>
  <c r="E34" i="78"/>
  <c r="F33" i="78"/>
  <c r="E33" i="78"/>
  <c r="F32" i="78"/>
  <c r="E32" i="78"/>
  <c r="F31" i="78"/>
  <c r="E31" i="78"/>
  <c r="F29" i="78"/>
  <c r="E29" i="78"/>
  <c r="F28" i="78"/>
  <c r="E28" i="78"/>
  <c r="F27" i="78"/>
  <c r="E27" i="78" s="1"/>
  <c r="F26" i="78"/>
  <c r="E26" i="78" s="1"/>
  <c r="F25" i="78"/>
  <c r="E25" i="78" s="1"/>
  <c r="F24" i="78"/>
  <c r="E24" i="78" s="1"/>
  <c r="F22" i="78"/>
  <c r="E22" i="78"/>
  <c r="F21" i="78"/>
  <c r="E21" i="78"/>
  <c r="F20" i="78"/>
  <c r="E20" i="78"/>
  <c r="F19" i="78"/>
  <c r="E19" i="78" s="1"/>
  <c r="F18" i="78"/>
  <c r="E18" i="78" s="1"/>
  <c r="F17" i="78"/>
  <c r="E17" i="78"/>
  <c r="F16" i="78"/>
  <c r="E16" i="78"/>
  <c r="F15" i="78"/>
  <c r="E15" i="78"/>
  <c r="B15" i="78"/>
  <c r="F14" i="78"/>
  <c r="E14" i="78"/>
  <c r="B14" i="78"/>
  <c r="B13" i="78"/>
  <c r="F12" i="78"/>
  <c r="E12" i="78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/>
  <c r="B7" i="78"/>
  <c r="F6" i="78"/>
  <c r="E6" i="78" s="1"/>
  <c r="B6" i="78"/>
  <c r="F5" i="78"/>
  <c r="E5" i="78"/>
  <c r="B5" i="78"/>
  <c r="F4" i="78"/>
  <c r="E4" i="78"/>
  <c r="B4" i="78"/>
  <c r="F3" i="78"/>
  <c r="E3" i="78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>
  <authors>
    <author>Vicki Chen/WHQ/Wistron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Jack</author>
  </authors>
  <commentList>
    <comment ref="E48" authorId="0" shapeId="0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>
  <authors>
    <author>Vicki Chen/WHQ/Wistron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>
  <authors>
    <author>Hermit Yang/WHQ/Wistron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<sst xmlns="http://schemas.openxmlformats.org/spreadsheetml/2006/main" count="2475" uniqueCount="1458">
  <si>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</si>
  <si>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</si>
  <si>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</si>
  <si>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</si>
  <si>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</si>
  <si>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</si>
  <si>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</si>
  <si>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</si>
  <si>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</si>
  <si>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</si>
  <si>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</si>
  <si>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</si>
  <si>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</si>
  <si>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</si>
  <si>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</si>
  <si>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</si>
  <si>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</si>
  <si>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</si>
  <si>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</si>
  <si>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</si>
  <si>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</si>
  <si>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</si>
  <si>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</si>
  <si>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</si>
  <si>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</si>
  <si>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</si>
  <si>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</si>
  <si>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</si>
  <si>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</si>
  <si>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</si>
  <si>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</si>
  <si>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</si>
  <si>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</si>
  <si>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</si>
  <si>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</si>
  <si>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</si>
  <si>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</si>
  <si>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</si>
  <si>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</si>
  <si>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</si>
  <si>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</si>
  <si>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</si>
  <si>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</si>
  <si>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</si>
  <si>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</si>
  <si>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</si>
  <si>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</si>
  <si>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</si>
  <si>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</si>
  <si>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</si>
  <si>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</si>
  <si>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</si>
  <si>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</si>
  <si>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</si>
  <si>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</si>
  <si>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</si>
  <si>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</si>
  <si>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</si>
  <si>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</si>
  <si>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</si>
  <si>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</si>
  <si>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</si>
  <si>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</si>
  <si>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</si>
  <si>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</si>
  <si>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</si>
  <si>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</si>
  <si>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</si>
  <si>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</si>
  <si>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</si>
  <si>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</si>
  <si>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</si>
  <si>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</si>
  <si>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</si>
  <si>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</si>
  <si>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</si>
  <si>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</si>
  <si>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</si>
  <si>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</si>
  <si>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</si>
  <si>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</si>
  <si>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</si>
  <si>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</si>
  <si>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</si>
  <si>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</si>
  <si>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</si>
  <si>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</si>
  <si>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</si>
  <si>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</si>
  <si>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</si>
  <si>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</si>
  <si>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</si>
  <si>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</si>
  <si>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</si>
  <si>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</si>
  <si>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</si>
  <si>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</si>
  <si>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</si>
  <si>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</si>
  <si>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</si>
  <si>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</si>
  <si>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</si>
  <si>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</si>
  <si>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</si>
  <si>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</si>
  <si>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</si>
  <si>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</si>
  <si>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</si>
  <si>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</si>
  <si>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</si>
  <si>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</si>
  <si>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</si>
  <si>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</si>
  <si>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</si>
  <si>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</si>
  <si>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</si>
  <si>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</si>
  <si>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</si>
  <si>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</si>
  <si>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</si>
  <si>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</si>
  <si>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</si>
  <si>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</si>
  <si>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</si>
  <si>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</si>
  <si>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</si>
  <si>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</si>
  <si>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</si>
  <si>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</si>
  <si>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</si>
  <si>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</si>
  <si>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</si>
  <si>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</si>
  <si>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</si>
  <si>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</si>
  <si>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</si>
  <si>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</si>
  <si>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</si>
  <si>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</si>
  <si>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</si>
  <si>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</si>
  <si>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</si>
  <si>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</si>
  <si>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</si>
  <si>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</si>
  <si>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</si>
  <si>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</si>
  <si>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</si>
  <si>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</si>
  <si>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</si>
  <si>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</si>
  <si>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</si>
  <si>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</si>
  <si>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</si>
  <si>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</si>
  <si>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</si>
  <si>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</si>
  <si>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</si>
  <si>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</si>
  <si>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</si>
  <si>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</si>
  <si>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</si>
  <si>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</si>
  <si>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</si>
  <si>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</si>
  <si>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</si>
  <si>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</si>
  <si>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</si>
  <si>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</si>
  <si>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</si>
  <si>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</si>
  <si>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</si>
  <si>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</si>
  <si>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</si>
  <si>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</si>
  <si>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</si>
  <si>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</si>
  <si>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</si>
  <si>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</si>
  <si>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</si>
  <si>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</si>
  <si>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</si>
  <si>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</si>
  <si>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</si>
  <si>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</si>
  <si>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</si>
  <si>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</si>
  <si>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</si>
  <si>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</si>
  <si>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</si>
  <si>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</si>
  <si>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</si>
  <si>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</si>
  <si>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</si>
  <si>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</si>
  <si>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</si>
  <si>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</si>
  <si>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</si>
  <si>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</si>
  <si>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</si>
  <si>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</si>
  <si>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</si>
  <si>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</si>
  <si>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</si>
  <si>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</si>
  <si>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</si>
  <si>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</si>
  <si>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</si>
  <si>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</si>
  <si>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</si>
  <si>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</si>
  <si>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</si>
  <si>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</si>
  <si>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</si>
  <si>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</si>
  <si>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</si>
  <si>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</si>
  <si>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</si>
  <si>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</si>
  <si>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</si>
  <si>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</si>
  <si>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</si>
  <si>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</si>
  <si>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</si>
  <si>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</si>
  <si>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</si>
  <si>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</si>
  <si>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</si>
  <si>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</si>
  <si>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</si>
  <si>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</si>
  <si>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</si>
  <si>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</si>
  <si>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</si>
  <si>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</si>
  <si>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</si>
  <si>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</si>
  <si>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</si>
  <si>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</si>
  <si>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</si>
  <si>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</si>
  <si>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</si>
  <si>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</si>
  <si>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</si>
  <si>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</si>
  <si>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</si>
  <si>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</si>
  <si>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</si>
  <si>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</si>
  <si>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</si>
  <si>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</si>
  <si>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</si>
  <si>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</si>
  <si>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</si>
  <si>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</si>
  <si>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</si>
  <si>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</si>
  <si>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</si>
  <si>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</si>
  <si>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</si>
  <si>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</si>
  <si>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</si>
  <si>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</si>
  <si>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</si>
  <si>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</si>
  <si>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</si>
  <si>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</si>
  <si>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</si>
  <si>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</si>
  <si>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</si>
  <si>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PC_非透明</t>
    <phoneticPr fontId="2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</si>
  <si>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</si>
  <si>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</si>
  <si>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</si>
  <si>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</si>
  <si>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</si>
  <si>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</si>
  <si>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</si>
  <si>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</si>
  <si>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</si>
  <si>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</si>
  <si>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</si>
  <si>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</si>
  <si>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</si>
  <si>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</si>
  <si>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</si>
  <si>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</si>
  <si>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</si>
  <si>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</si>
  <si>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</si>
  <si>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</si>
  <si>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</si>
  <si>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</si>
  <si>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</si>
  <si>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</si>
  <si>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</si>
  <si>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</si>
  <si>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</si>
  <si>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</si>
  <si>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</si>
  <si>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</si>
  <si>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</si>
  <si>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</si>
  <si>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</si>
  <si>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</si>
  <si>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</si>
  <si>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</si>
  <si>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</si>
  <si>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</si>
  <si>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</si>
  <si>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</si>
  <si>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</si>
  <si>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</si>
  <si>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</si>
  <si>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</si>
  <si>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</si>
  <si>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</si>
  <si>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</si>
  <si>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</si>
  <si>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</si>
  <si>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</si>
  <si>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</si>
  <si>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</si>
  <si>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</si>
  <si>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</si>
  <si>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</si>
  <si>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</si>
  <si>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</si>
  <si>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</si>
  <si>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</si>
  <si>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</si>
  <si>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</si>
  <si>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</si>
  <si>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</si>
  <si>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</si>
  <si>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</si>
  <si>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</si>
  <si>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</si>
  <si>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</si>
  <si>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</si>
  <si>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</si>
  <si>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</si>
  <si>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</si>
  <si>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</si>
  <si>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</si>
  <si>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</si>
  <si>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</si>
  <si>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</si>
  <si>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</si>
  <si>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</si>
  <si>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</si>
  <si>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</si>
  <si>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</si>
  <si>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</si>
  <si>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</si>
  <si>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</si>
  <si>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</si>
  <si>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</si>
  <si>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</si>
  <si>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</si>
  <si>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</si>
  <si>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</si>
  <si>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</si>
  <si>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</si>
  <si>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Wearable_PC_耐磨</t>
    <phoneticPr fontId="27" type="noConversion"/>
  </si>
  <si>
    <t>Teijin_TN-7690A</t>
    <phoneticPr fontId="27" type="noConversion"/>
  </si>
  <si>
    <t>防火_TPEE</t>
    <phoneticPr fontId="2" type="noConversion"/>
  </si>
  <si>
    <t>LOTTE_NH-1021</t>
    <phoneticPr fontId="27" type="noConversion"/>
  </si>
  <si>
    <t>防火高流動_PC</t>
    <phoneticPr fontId="2" type="noConversion"/>
  </si>
  <si>
    <t>LOTTE_NH-1015V</t>
    <phoneticPr fontId="27" type="noConversion"/>
  </si>
  <si>
    <t>耐候_PC</t>
    <phoneticPr fontId="2" type="noConversion"/>
  </si>
  <si>
    <t>Covestro_FR630GR</t>
    <phoneticPr fontId="27" type="noConversion"/>
  </si>
  <si>
    <t>擴散級_PC</t>
    <phoneticPr fontId="2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</si>
  <si>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</si>
  <si>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</si>
  <si>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</si>
  <si>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</si>
  <si>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</si>
  <si>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</si>
  <si>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</si>
  <si>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</si>
  <si>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</si>
  <si>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</si>
  <si>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</si>
  <si>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</si>
  <si>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</si>
  <si>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</si>
  <si>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</si>
  <si>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</si>
  <si>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</si>
  <si>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</si>
  <si>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</si>
  <si>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</si>
  <si>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</si>
  <si>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</si>
  <si>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</si>
  <si>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</si>
  <si>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</si>
  <si>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</si>
  <si>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</si>
  <si>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</si>
  <si>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</si>
  <si>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</si>
  <si>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</si>
  <si>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</si>
  <si>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</si>
  <si>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</si>
  <si>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</si>
  <si>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</si>
  <si>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</si>
  <si>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</si>
  <si>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</si>
  <si>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</si>
  <si>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</si>
  <si>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</si>
  <si>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</si>
  <si>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</si>
  <si>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</si>
  <si>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</si>
  <si>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</si>
  <si>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</si>
  <si>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</si>
  <si>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</si>
  <si>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</si>
  <si>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</si>
  <si>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</si>
  <si>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</si>
  <si>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</si>
  <si>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</si>
  <si>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</si>
  <si>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</si>
  <si>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</si>
  <si>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</si>
  <si>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</si>
  <si>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</si>
  <si>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</si>
  <si>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</si>
  <si>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</si>
  <si>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</si>
  <si>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</si>
  <si>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</si>
  <si>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</si>
  <si>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</si>
  <si>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</si>
  <si>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FR_PC_Diffusion_擴散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</si>
  <si>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</si>
  <si>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</si>
  <si>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</si>
  <si>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</si>
  <si>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</si>
  <si>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</si>
  <si>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</si>
  <si>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</si>
  <si>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</si>
  <si>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</si>
  <si>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</si>
  <si>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</si>
  <si>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</si>
  <si>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</si>
  <si>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</si>
  <si>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</si>
  <si>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</si>
  <si>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</si>
  <si>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</si>
  <si>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</si>
  <si>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</si>
  <si>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</si>
  <si>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</si>
  <si>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</si>
  <si>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</si>
  <si>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</si>
  <si>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</si>
  <si>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</si>
  <si>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</si>
  <si>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</si>
  <si>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</si>
  <si>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</si>
  <si>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</si>
  <si>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</si>
  <si>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</si>
  <si>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</si>
  <si>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</si>
  <si>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</si>
  <si>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</si>
  <si>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</si>
  <si>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</si>
  <si>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</si>
  <si>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</si>
  <si>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</si>
  <si>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</si>
  <si>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</si>
  <si>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</si>
  <si>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</si>
  <si>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</si>
  <si>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</si>
  <si>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</si>
  <si>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</si>
  <si>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</si>
  <si>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</si>
  <si>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</si>
  <si>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</si>
  <si>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</si>
  <si>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</si>
  <si>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</si>
  <si>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</si>
  <si>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</si>
  <si>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</si>
  <si>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</si>
  <si>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</si>
  <si>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</si>
  <si>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</si>
  <si>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</si>
  <si>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</si>
  <si>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</si>
  <si>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</si>
  <si>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</si>
  <si>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</si>
  <si>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</si>
  <si>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</si>
  <si>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</si>
  <si>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</si>
  <si>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</si>
  <si>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</si>
  <si>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</si>
  <si>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</si>
  <si>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</si>
  <si>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</si>
  <si>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</si>
  <si>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</si>
  <si>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</si>
  <si>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</si>
  <si>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</si>
  <si>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</si>
  <si>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</si>
  <si>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</si>
  <si>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</si>
  <si>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</si>
  <si>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</si>
  <si>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</si>
  <si>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</si>
  <si>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</si>
  <si>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</si>
  <si>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</si>
  <si>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</si>
  <si>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</si>
  <si>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</si>
  <si>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</si>
  <si>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</si>
  <si>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</si>
  <si>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</si>
  <si>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</si>
  <si>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</si>
  <si>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</si>
  <si>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</si>
  <si>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</si>
  <si>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</si>
  <si>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</si>
  <si>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</si>
  <si>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</si>
  <si>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</si>
  <si>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</si>
  <si>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</si>
  <si>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</si>
  <si>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</si>
  <si>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</si>
  <si>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</si>
  <si>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</si>
  <si>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</si>
  <si>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</si>
  <si>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</si>
  <si>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</si>
  <si>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</si>
  <si>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</si>
  <si>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</si>
  <si>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</si>
  <si>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</si>
  <si>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</si>
  <si>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</si>
  <si>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</si>
  <si>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</si>
  <si>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</si>
  <si>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</si>
  <si>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</si>
  <si>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</si>
  <si>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</si>
  <si>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</si>
  <si>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</si>
  <si>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</si>
  <si>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</si>
  <si>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</si>
  <si>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</si>
  <si>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</si>
  <si>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</si>
  <si>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</si>
  <si>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</si>
  <si>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</si>
  <si>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</si>
  <si>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</si>
  <si>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</si>
  <si>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</si>
  <si>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</si>
  <si>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</si>
  <si>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</si>
  <si>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</si>
  <si>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</si>
  <si>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</si>
  <si>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</si>
  <si>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</si>
  <si>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</si>
  <si>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</si>
  <si>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</si>
  <si>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</si>
  <si>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</si>
  <si>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</si>
  <si>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</si>
  <si>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</si>
  <si>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</si>
  <si>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</si>
  <si>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</si>
  <si>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</si>
  <si>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</si>
  <si>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</si>
  <si>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</si>
  <si>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</si>
  <si>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</si>
  <si>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</si>
  <si>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</si>
  <si>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</si>
  <si>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</si>
  <si>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</si>
  <si>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</si>
  <si>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</si>
  <si>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</si>
  <si>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</si>
  <si>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</si>
  <si>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</si>
  <si>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</si>
  <si>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</si>
  <si>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</si>
  <si>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</si>
  <si>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</si>
  <si>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</si>
  <si>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</si>
  <si>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</si>
  <si>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</si>
  <si>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</si>
  <si>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</si>
  <si>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</si>
  <si>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</si>
  <si>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</si>
  <si>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</si>
  <si>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</si>
  <si>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</si>
  <si>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</si>
  <si>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</si>
  <si>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</si>
  <si>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</si>
  <si>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</si>
  <si>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</si>
  <si>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</si>
  <si>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</si>
  <si>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</si>
  <si>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</si>
  <si>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</si>
  <si>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</si>
  <si>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</si>
  <si>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</si>
  <si>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</si>
  <si>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</si>
  <si>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</si>
  <si>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</si>
  <si>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</si>
  <si>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</si>
  <si>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</si>
  <si>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</si>
  <si>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</si>
  <si>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</si>
  <si>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</si>
  <si>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</si>
  <si>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</si>
  <si>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</si>
  <si>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</si>
  <si>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</si>
  <si>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</si>
  <si>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</si>
  <si>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</si>
  <si>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</si>
  <si>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</si>
  <si>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</si>
  <si>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</si>
  <si>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</si>
  <si>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</si>
  <si>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</si>
  <si>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</si>
  <si>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</si>
  <si>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</si>
  <si>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</si>
  <si>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</si>
  <si>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</si>
  <si>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</si>
  <si>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</si>
  <si>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</si>
  <si>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</si>
  <si>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</si>
  <si>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</si>
  <si>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</si>
  <si>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</si>
  <si>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</si>
  <si>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</si>
  <si>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</si>
  <si>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</si>
  <si>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</si>
  <si>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</si>
  <si>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</si>
  <si>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</si>
  <si>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</si>
  <si>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</si>
  <si>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</si>
  <si>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</si>
  <si>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</si>
  <si>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</si>
  <si>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</si>
  <si>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</si>
  <si>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</si>
  <si>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</si>
  <si>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</si>
  <si>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</si>
  <si>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</si>
  <si>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</si>
  <si>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</si>
  <si>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</si>
  <si>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</si>
  <si>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</si>
  <si>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</si>
  <si>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</si>
  <si>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</si>
  <si>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</si>
  <si>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</si>
  <si>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</si>
  <si>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</si>
  <si>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</si>
  <si>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</si>
  <si>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</si>
  <si>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</si>
  <si>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</si>
  <si>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</si>
  <si>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</si>
  <si>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</si>
  <si>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</si>
  <si>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</si>
  <si>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</si>
  <si>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</si>
  <si>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</si>
  <si>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</si>
  <si>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</si>
  <si>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</si>
  <si>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</si>
  <si>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</si>
  <si>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</si>
  <si>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</si>
  <si>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</si>
  <si>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</si>
  <si>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</si>
  <si>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</si>
  <si>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</si>
  <si>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</si>
  <si>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</si>
  <si>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</si>
  <si>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</si>
  <si>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</si>
  <si>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</si>
  <si>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</si>
  <si>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</si>
  <si>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</si>
  <si>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</si>
  <si>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</si>
  <si>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</si>
  <si>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</si>
  <si>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</si>
  <si>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</si>
  <si>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</si>
  <si>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</si>
  <si>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</si>
  <si>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</si>
  <si>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</si>
  <si>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</si>
  <si>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</si>
  <si>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</si>
  <si>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</si>
  <si>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</si>
  <si>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</si>
  <si>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</si>
  <si>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</si>
  <si>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</si>
  <si>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</si>
  <si>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</si>
  <si>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</si>
  <si>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</si>
  <si>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</si>
  <si>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</si>
  <si>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</si>
  <si>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</si>
  <si>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</si>
  <si>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</si>
  <si>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</si>
  <si>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</si>
  <si>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</si>
  <si>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</si>
  <si>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</si>
  <si>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</si>
  <si>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</si>
  <si>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</si>
  <si>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</si>
  <si>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</si>
  <si>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</si>
  <si>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</si>
  <si>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</si>
  <si>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</si>
  <si>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</si>
  <si>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</si>
  <si>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</si>
  <si>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</si>
  <si>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</si>
  <si>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</si>
  <si>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</si>
  <si>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</si>
  <si>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</si>
  <si>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</si>
  <si>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</si>
  <si>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</si>
  <si>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</si>
  <si>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</si>
  <si>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</si>
  <si>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</si>
  <si>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</si>
  <si>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</si>
  <si>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</si>
  <si>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</si>
  <si>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</si>
  <si>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</si>
  <si>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</si>
  <si>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</si>
  <si>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</si>
  <si>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</si>
  <si>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</si>
  <si>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</si>
  <si>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</si>
  <si>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</si>
  <si>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</si>
  <si>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</si>
  <si>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</si>
  <si>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</si>
  <si>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</si>
  <si>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</si>
  <si>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</si>
  <si>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</si>
  <si>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</si>
  <si>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</si>
  <si>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</si>
  <si>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</si>
  <si>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</si>
  <si>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</si>
  <si>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</si>
  <si>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</si>
  <si>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</si>
  <si>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</si>
  <si>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</si>
  <si>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</si>
  <si>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</si>
  <si>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</si>
  <si>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</si>
  <si>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</si>
  <si>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</si>
  <si>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</si>
  <si>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</si>
  <si>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</si>
  <si>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</si>
  <si>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</si>
  <si>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</si>
  <si>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</si>
  <si>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</si>
  <si>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</si>
  <si>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</si>
  <si>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</si>
  <si>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</si>
  <si>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</si>
  <si>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</si>
  <si>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</si>
  <si>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</si>
  <si>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</si>
  <si>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</si>
  <si>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</si>
  <si>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</si>
  <si>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</si>
  <si>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</si>
  <si>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</si>
  <si>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</si>
  <si>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</si>
  <si>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</si>
  <si>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</si>
  <si>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</si>
  <si>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</si>
  <si>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</si>
  <si>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</si>
  <si>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</si>
  <si>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</si>
  <si>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</si>
  <si>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</si>
  <si>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</si>
  <si>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</si>
  <si>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</si>
  <si>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</si>
  <si>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</si>
  <si>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</si>
  <si>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</si>
  <si>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</si>
  <si>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</si>
  <si>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</si>
  <si>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</si>
  <si>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</si>
  <si>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</si>
  <si>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</si>
  <si>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</si>
  <si>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</si>
  <si>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</si>
  <si>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</si>
  <si>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</si>
  <si>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</si>
  <si>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</si>
  <si>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</si>
  <si>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</si>
  <si>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</si>
  <si>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</si>
  <si>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</si>
  <si>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</si>
  <si>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</si>
  <si>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</si>
  <si>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</si>
  <si>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</si>
  <si>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</si>
  <si>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</si>
  <si>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</si>
  <si>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</si>
  <si>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</si>
  <si>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</si>
  <si>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</si>
  <si>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</si>
  <si>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</si>
  <si>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</si>
  <si>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</si>
  <si>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</si>
  <si>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</si>
  <si>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</si>
  <si>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</si>
  <si>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</si>
  <si>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</si>
  <si>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</si>
  <si>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</si>
  <si>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</si>
  <si>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</si>
  <si>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</si>
  <si>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</si>
  <si>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</si>
  <si>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</si>
  <si>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</si>
  <si>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</si>
  <si>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</si>
  <si>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</si>
  <si>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</si>
  <si>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</si>
  <si>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</si>
  <si>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</si>
  <si>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</si>
  <si>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</si>
  <si>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</si>
  <si>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</si>
  <si>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</si>
  <si>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</si>
  <si>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</si>
  <si>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</si>
  <si>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</si>
  <si>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</si>
  <si>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</si>
  <si>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</si>
  <si>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</si>
  <si>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</si>
  <si>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</si>
  <si>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</si>
  <si>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</si>
  <si>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</si>
  <si>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</si>
  <si>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</si>
  <si>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</si>
  <si>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</si>
  <si>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</si>
  <si>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</si>
  <si>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</si>
  <si>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</si>
  <si>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</si>
  <si>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</si>
  <si>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</si>
  <si>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</si>
  <si>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</si>
  <si>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</si>
  <si>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</si>
  <si>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</si>
  <si>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</si>
  <si>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</si>
  <si>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</si>
  <si>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</si>
  <si>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</si>
  <si>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</si>
  <si>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</si>
  <si>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</si>
  <si>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</si>
  <si>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</si>
  <si>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</si>
  <si>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</si>
  <si>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</si>
  <si>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</si>
  <si>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</si>
  <si>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</si>
  <si>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</si>
  <si>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</si>
  <si>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</si>
  <si>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</si>
  <si>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</si>
  <si>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</si>
  <si>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</si>
  <si>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</si>
  <si>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</si>
  <si>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</si>
  <si>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</si>
  <si>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</si>
  <si>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</si>
  <si>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</si>
  <si>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</si>
  <si>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</si>
  <si>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</si>
  <si>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</si>
  <si>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</si>
  <si>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</si>
  <si>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</si>
  <si>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</si>
  <si>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</si>
  <si>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</si>
  <si>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</si>
  <si>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</si>
  <si>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</si>
  <si>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</si>
  <si>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</si>
  <si>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</si>
  <si>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</si>
  <si>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</si>
  <si>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</si>
  <si>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</si>
  <si>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</si>
  <si>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</si>
  <si>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</si>
  <si>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</si>
  <si>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</si>
  <si>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</si>
  <si>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</si>
  <si>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</si>
  <si>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</si>
  <si>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</si>
  <si>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</si>
  <si>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</si>
  <si>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</si>
  <si>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</si>
  <si>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</si>
  <si>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</si>
  <si>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</si>
  <si>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</si>
  <si>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</si>
  <si>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</si>
  <si>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</si>
  <si>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</si>
  <si>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</si>
  <si>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</si>
  <si>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</si>
  <si>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</si>
  <si>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</si>
  <si>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</si>
  <si>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</si>
  <si>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</si>
  <si>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</si>
  <si>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</si>
  <si>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</si>
  <si>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</si>
  <si>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</si>
  <si>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</si>
  <si>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</si>
  <si>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</si>
  <si>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</si>
  <si>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</si>
  <si>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</si>
  <si>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</si>
  <si>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</si>
  <si>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</si>
  <si>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</si>
  <si>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</si>
  <si>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</si>
  <si>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</si>
  <si>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</si>
  <si>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</si>
  <si>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</si>
  <si>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</si>
  <si>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</si>
  <si>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</si>
  <si>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</si>
  <si>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</si>
  <si>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</si>
  <si>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</si>
  <si>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</si>
  <si>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</si>
  <si>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</si>
  <si>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</si>
  <si>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</si>
  <si>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</si>
  <si>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</si>
  <si>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</si>
  <si>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</si>
  <si>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</si>
  <si>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</si>
  <si>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</si>
  <si>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</si>
  <si>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</si>
  <si>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</si>
  <si>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</si>
  <si>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</si>
  <si>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</si>
  <si>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</si>
  <si>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</si>
  <si>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</si>
  <si>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</si>
  <si>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</si>
  <si>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</si>
  <si>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</si>
  <si>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</si>
  <si>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</si>
  <si>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</si>
  <si>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</si>
  <si>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</si>
  <si>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</si>
  <si>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</si>
  <si>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</si>
  <si>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</si>
  <si>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</si>
  <si>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</si>
  <si>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</si>
  <si>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</si>
  <si>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</si>
  <si>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</si>
  <si>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</si>
  <si>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</si>
  <si>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</si>
  <si>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</si>
  <si>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</si>
  <si>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</si>
  <si>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</si>
  <si>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</si>
  <si>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</si>
  <si>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</si>
  <si>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</si>
  <si>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</si>
  <si>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</si>
  <si>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</si>
  <si>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</si>
  <si>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</si>
  <si>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</si>
  <si>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</si>
  <si>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</si>
  <si>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</si>
  <si>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</si>
  <si>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</si>
  <si>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</si>
  <si>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</si>
  <si>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</si>
  <si>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</si>
  <si>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</si>
  <si>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</si>
  <si>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</si>
  <si>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</si>
  <si>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</si>
  <si>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</si>
  <si>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</si>
  <si>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</si>
  <si>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</si>
  <si>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</si>
  <si>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</si>
  <si>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</si>
  <si>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</si>
  <si>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</si>
  <si>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</si>
  <si>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</si>
  <si>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</si>
  <si>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</si>
  <si>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</si>
  <si>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</si>
  <si>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</si>
  <si>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</si>
  <si>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</si>
  <si>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</si>
  <si>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</si>
  <si>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</si>
  <si>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</si>
  <si>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</si>
  <si>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</si>
  <si>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</si>
  <si>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</si>
  <si>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</si>
  <si>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</si>
  <si>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</si>
  <si>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</si>
  <si>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</si>
  <si>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</si>
  <si>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</si>
  <si>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</si>
  <si>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</si>
  <si>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</si>
  <si>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</si>
  <si>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</si>
  <si>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</si>
  <si>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</si>
  <si>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</si>
  <si>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</si>
  <si>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</si>
  <si>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</si>
  <si>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</si>
  <si>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</si>
  <si>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</si>
  <si>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</si>
  <si>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</si>
  <si>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</si>
  <si>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</si>
  <si>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</si>
  <si>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</si>
  <si>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</si>
  <si>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</si>
  <si>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</si>
  <si>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</si>
  <si>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</si>
  <si>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</si>
  <si>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</si>
  <si>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</si>
  <si>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</si>
  <si>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</si>
  <si>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</si>
  <si>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</si>
  <si>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</si>
  <si>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</si>
  <si>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</si>
  <si>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</si>
  <si>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</si>
  <si>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</si>
  <si>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</si>
  <si>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</si>
  <si>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</si>
  <si>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</si>
  <si>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</si>
  <si>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</si>
  <si>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</si>
  <si>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</si>
  <si>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</si>
  <si>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</si>
  <si>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</si>
  <si>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</si>
  <si>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</si>
  <si>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</si>
  <si>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</si>
  <si>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</si>
  <si>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</si>
  <si>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</si>
  <si>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</si>
  <si>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</si>
  <si>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</si>
  <si>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</si>
  <si>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</si>
  <si>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</si>
  <si>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</si>
  <si>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</si>
  <si>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</si>
  <si>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</si>
  <si>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</si>
  <si>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</si>
  <si>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</si>
  <si>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</si>
  <si>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</si>
  <si>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</si>
  <si>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</si>
  <si>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</si>
  <si>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</si>
  <si>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</si>
  <si>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</si>
  <si>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</si>
  <si>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</si>
  <si>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</si>
  <si>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</si>
  <si>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</si>
  <si>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</si>
  <si>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</si>
  <si>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</si>
  <si>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</si>
  <si>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</si>
  <si>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</si>
  <si>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</si>
  <si>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</si>
  <si>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</si>
  <si>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</si>
  <si>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</si>
  <si>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</si>
  <si>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</si>
  <si>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</si>
  <si>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</si>
  <si>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</si>
  <si>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</si>
  <si>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</si>
  <si>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</si>
  <si>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</si>
  <si>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</si>
  <si>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</si>
  <si>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</si>
  <si>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</si>
  <si>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</si>
  <si>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</si>
  <si>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</si>
  <si>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</si>
  <si>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</si>
  <si>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</si>
  <si>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</si>
  <si>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</si>
  <si>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</si>
  <si>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</si>
  <si>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</si>
  <si>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</si>
  <si>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</si>
  <si>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</si>
  <si>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</si>
  <si>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</si>
  <si>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</si>
  <si>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</si>
  <si>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</si>
  <si>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</si>
  <si>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</si>
  <si>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</si>
  <si>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</si>
  <si>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</si>
  <si>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</si>
  <si>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</si>
  <si>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</si>
  <si>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</si>
  <si>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</si>
  <si>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</si>
  <si>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</si>
  <si>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</si>
  <si>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</si>
  <si>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</si>
  <si>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</si>
  <si>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</si>
  <si>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</si>
  <si>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</si>
  <si>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</si>
  <si>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</si>
  <si>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</si>
  <si>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</si>
  <si>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</si>
  <si>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</si>
  <si>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</si>
  <si>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</si>
  <si>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</si>
  <si>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</si>
  <si>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</si>
  <si>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</si>
  <si>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</si>
  <si>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</si>
  <si>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</si>
  <si>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</si>
  <si>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</si>
  <si>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</si>
  <si>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</si>
  <si>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</si>
  <si>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</si>
  <si>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</si>
  <si>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</si>
  <si>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</si>
  <si>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</si>
  <si>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</si>
  <si>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</si>
  <si>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</si>
  <si>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</si>
  <si>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</si>
  <si>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</si>
  <si>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</si>
  <si>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</si>
  <si>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</si>
  <si>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</si>
  <si>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</si>
  <si>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</si>
  <si>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</si>
  <si>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</si>
  <si>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</si>
  <si>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</si>
  <si>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</si>
  <si>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</si>
  <si>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</si>
  <si>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</si>
  <si>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</si>
  <si>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</si>
  <si>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</si>
  <si>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</si>
  <si>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</si>
  <si>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</si>
  <si>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</si>
  <si>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</si>
  <si>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</si>
  <si>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</si>
  <si>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</si>
  <si>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</si>
  <si>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</si>
  <si>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</si>
  <si>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</si>
  <si>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</si>
  <si>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</si>
  <si>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</si>
  <si>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</si>
  <si>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</si>
  <si>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</si>
  <si>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</si>
  <si>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</si>
  <si>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</si>
  <si>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</si>
  <si>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</si>
  <si>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</si>
  <si>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</si>
  <si>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</si>
  <si>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</si>
  <si>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</si>
  <si>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</si>
  <si>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</si>
  <si>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</si>
  <si>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</si>
  <si>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</si>
  <si>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</si>
  <si>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</si>
  <si>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</si>
  <si>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</si>
  <si>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</si>
  <si>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Other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</si>
  <si>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</si>
  <si>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</si>
  <si>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</si>
  <si>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</si>
  <si>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</si>
  <si>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</si>
  <si>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</si>
  <si>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Housing</t>
  </si>
  <si>
    <t>C_GPU_BKT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</si>
</sst>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40" fillId="0" borderId="0"/>
    <xf numFmtId="178" fontId="5" fillId="0" borderId="0"/>
    <xf numFmtId="178" fontId="5" fillId="0" borderId="0"/>
    <xf numFmtId="178" fontId="41" fillId="0" borderId="0">
      <alignment vertical="center"/>
    </xf>
    <xf numFmtId="178" fontId="40" fillId="0" borderId="0"/>
    <xf numFmtId="178" fontId="41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29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4" borderId="0" xfId="0" applyNumberFormat="1" applyFill="1" applyBorder="1" applyAlignment="1">
      <alignment horizontal="left" vertical="center"/>
    </xf>
    <xf numFmtId="0" fontId="0" fillId="24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37" fillId="4" borderId="0" xfId="0" applyNumberFormat="1" applyFont="1" applyFill="1">
      <alignment vertical="center"/>
    </xf>
    <xf numFmtId="0" fontId="37" fillId="0" borderId="0" xfId="0" applyNumberFormat="1" applyFont="1">
      <alignment vertical="center"/>
    </xf>
    <xf numFmtId="0" fontId="0" fillId="19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21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5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5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4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6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6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9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9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5" fillId="4" borderId="13" xfId="43" applyNumberFormat="1" applyFont="1" applyFill="1" applyBorder="1" applyAlignment="1">
      <alignment vertical="center" wrapText="1"/>
    </xf>
    <xf numFmtId="0" fontId="48" fillId="4" borderId="1" xfId="43" applyNumberFormat="1" applyFont="1" applyFill="1" applyBorder="1" applyAlignment="1">
      <alignment horizontal="center" vertical="center"/>
    </xf>
    <xf numFmtId="0" fontId="45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51" fillId="2" borderId="1" xfId="22" applyNumberFormat="1" applyFont="1" applyFill="1" applyBorder="1" applyAlignment="1">
      <alignment vertical="center"/>
    </xf>
    <xf numFmtId="0" fontId="31" fillId="2" borderId="1" xfId="43" applyNumberFormat="1" applyFont="1" applyFill="1" applyBorder="1" applyAlignment="1">
      <alignment vertical="center"/>
    </xf>
    <xf numFmtId="0" fontId="30" fillId="2" borderId="13" xfId="43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2" fillId="11" borderId="12" xfId="2" applyNumberFormat="1" applyFont="1" applyFill="1" applyBorder="1" applyAlignment="1" applyProtection="1">
      <alignment vertical="center"/>
      <protection locked="0"/>
    </xf>
    <xf numFmtId="0" fontId="52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3" fillId="13" borderId="1" xfId="0" applyNumberFormat="1" applyFont="1" applyFill="1" applyBorder="1" applyAlignment="1">
      <alignment horizontal="center" vertical="center" wrapText="1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4" fillId="0" borderId="0" xfId="0" applyNumberFormat="1" applyFont="1" applyAlignment="1">
      <alignment horizontal="center" vertical="center"/>
    </xf>
    <xf numFmtId="0" fontId="55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9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9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3" fillId="34" borderId="2" xfId="43" applyNumberFormat="1" applyFont="1" applyFill="1" applyBorder="1" applyAlignment="1">
      <alignment horizontal="center" vertical="center"/>
    </xf>
    <xf numFmtId="0" fontId="43" fillId="34" borderId="5" xfId="43" applyNumberFormat="1" applyFont="1" applyFill="1" applyBorder="1" applyAlignment="1">
      <alignment horizontal="center" vertical="center"/>
    </xf>
    <xf numFmtId="0" fontId="43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  <xf numFmtId="0" fontId="31" fillId="4" borderId="13" xfId="43" applyNumberFormat="1" applyFont="1" applyFill="1" applyBorder="1" applyAlignment="1">
      <alignment vertical="center"/>
    </xf>
  </cellXfs>
  <cellStyles count="44">
    <cellStyle name="AutoFormat Options" xfId="1"/>
    <cellStyle name="AutoFormat Options 2" xfId="28"/>
    <cellStyle name="MS Sans Serif" xfId="4"/>
    <cellStyle name="MS Sans Serif 2 2" xfId="27"/>
    <cellStyle name="MS Sans Serif 2 2 4" xfId="9"/>
    <cellStyle name="MS Sans Serif 5 3 2" xfId="15"/>
    <cellStyle name="一般" xfId="0" builtinId="0"/>
    <cellStyle name="一般 10 10 2 3 2" xfId="11"/>
    <cellStyle name="一般 10 10 3 2" xfId="12"/>
    <cellStyle name="一般 10 27" xfId="14"/>
    <cellStyle name="一般 10 27 2" xfId="8"/>
    <cellStyle name="一般 154" xfId="25"/>
    <cellStyle name="一般 2" xfId="2"/>
    <cellStyle name="一般 2 10" xfId="35"/>
    <cellStyle name="一般 2 2" xfId="26"/>
    <cellStyle name="一般 2 2 2" xfId="43"/>
    <cellStyle name="一般 2 2 2 3" xfId="3"/>
    <cellStyle name="一般 2 2 2 3 2" xfId="37"/>
    <cellStyle name="一般 2 2 2 3 2 2" xfId="41"/>
    <cellStyle name="一般 3" xfId="22"/>
    <cellStyle name="一般 3 11" xfId="21"/>
    <cellStyle name="一般 3 13" xfId="23"/>
    <cellStyle name="一般 3 2" xfId="40"/>
    <cellStyle name="一般 4" xfId="24"/>
    <cellStyle name="一般 44" xfId="29"/>
    <cellStyle name="一般 44 2" xfId="31"/>
    <cellStyle name="一般 5" xfId="30"/>
    <cellStyle name="一般 56" xfId="32"/>
    <cellStyle name="一般 57" xfId="33"/>
    <cellStyle name="一般 6" xfId="36"/>
    <cellStyle name="一般 63" xfId="16"/>
    <cellStyle name="一般 64" xfId="34"/>
    <cellStyle name="一般 64 2" xfId="10"/>
    <cellStyle name="一般 7" xfId="38"/>
    <cellStyle name="一般 7 2" xfId="42"/>
    <cellStyle name="一般 7 7" xfId="13"/>
    <cellStyle name="一般 8" xfId="39"/>
    <cellStyle name="一般_8000bom" xfId="6"/>
    <cellStyle name="百分比 2" xfId="18"/>
    <cellStyle name="貨幣" xfId="5" builtinId="4"/>
    <cellStyle name="貨幣 2" xfId="19"/>
    <cellStyle name="貨幣 3" xfId="20"/>
    <cellStyle name="超連結 2 3" xfId="17"/>
    <cellStyle name="樣式 1" xfId="7"/>
  </cellStyles>
  <dxfs count="0"/>
  <tableStyles count="0" defaultTableStyle="TableStyleMedium2" defaultPivotStyle="PivotStyleLight16"/>
  <colors>
    <mruColors>
      <color rgb="FFCCFFCC"/>
      <color rgb="FFFF00FF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1340677</xdr:colOff>
      <xdr:row>67</xdr:row>
      <xdr:rowOff>46852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MT"/>
      <sheetName val="TAMG"/>
      <sheetName val="MO &amp; PX DIE FA DATA SHEET FOR M"/>
      <sheetName val="MB costed BOM USDT"/>
      <sheetName val="C_K810VU"/>
      <sheetName val="PRVF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/>
      <sheetData sheetId="771"/>
      <sheetData sheetId="772"/>
      <sheetData sheetId="773"/>
      <sheetData sheetId="774"/>
      <sheetData sheetId="775"/>
      <sheetData sheetId="776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B1" sqref="B1"/>
    </sheetView>
  </sheetViews>
  <sheetFormatPr defaultColWidth="8.88671875" defaultRowHeight="16.2"/>
  <cols>
    <col min="1" max="2" width="8.88671875" style="159"/>
    <col min="3" max="3" width="10.44140625" style="159" bestFit="1" customWidth="1"/>
    <col min="4" max="10" width="8.88671875" style="159"/>
    <col min="11" max="11" width="16.21875" style="159" bestFit="1" customWidth="1"/>
    <col min="12" max="12" width="11.6640625" style="159" bestFit="1" customWidth="1"/>
    <col min="13" max="13" width="16.44140625" style="159" bestFit="1" customWidth="1"/>
    <col min="14" max="15" width="9.88671875" style="159" bestFit="1" customWidth="1"/>
    <col min="16" max="16384" width="8.88671875" style="159"/>
  </cols>
  <sheetData>
    <row r="2" spans="2:15" ht="16.8" thickBot="1">
      <c r="D2" s="266" t="s">
        <v>806</v>
      </c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</row>
    <row r="3" spans="2:15">
      <c r="B3" s="160"/>
      <c r="C3" s="161" t="s">
        <v>807</v>
      </c>
      <c r="D3" s="267" t="s">
        <v>100</v>
      </c>
      <c r="E3" s="268"/>
      <c r="F3" s="268"/>
      <c r="G3" s="268"/>
      <c r="H3" s="268"/>
      <c r="I3" s="268"/>
      <c r="J3" s="268"/>
      <c r="K3" s="269" t="s">
        <v>808</v>
      </c>
      <c r="L3" s="268"/>
      <c r="M3" s="268"/>
      <c r="N3" s="270" t="s">
        <v>809</v>
      </c>
      <c r="O3" s="271"/>
    </row>
    <row r="4" spans="2:15">
      <c r="B4" s="162" t="s">
        <v>810</v>
      </c>
      <c r="C4" s="163" t="s">
        <v>811</v>
      </c>
      <c r="D4" s="164" t="s">
        <v>99</v>
      </c>
      <c r="E4" s="165" t="s">
        <v>812</v>
      </c>
      <c r="F4" s="165" t="s">
        <v>813</v>
      </c>
      <c r="G4" s="165" t="s">
        <v>814</v>
      </c>
      <c r="H4" s="165" t="s">
        <v>815</v>
      </c>
      <c r="I4" s="165" t="s">
        <v>816</v>
      </c>
      <c r="J4" s="165" t="s">
        <v>817</v>
      </c>
      <c r="K4" s="166" t="s">
        <v>818</v>
      </c>
      <c r="L4" s="166" t="s">
        <v>819</v>
      </c>
      <c r="M4" s="166" t="s">
        <v>820</v>
      </c>
      <c r="N4" s="167" t="s">
        <v>821</v>
      </c>
      <c r="O4" s="168" t="s">
        <v>822</v>
      </c>
    </row>
    <row r="5" spans="2:15">
      <c r="B5" s="162" t="s">
        <v>823</v>
      </c>
      <c r="C5" s="157" t="s">
        <v>824</v>
      </c>
      <c r="D5" s="169"/>
      <c r="E5" s="169" t="s">
        <v>825</v>
      </c>
      <c r="F5" s="169" t="s">
        <v>825</v>
      </c>
      <c r="G5" s="169" t="s">
        <v>825</v>
      </c>
      <c r="H5" s="169" t="s">
        <v>825</v>
      </c>
      <c r="I5" s="169" t="s">
        <v>825</v>
      </c>
      <c r="J5" s="169" t="s">
        <v>825</v>
      </c>
      <c r="K5" s="169"/>
      <c r="L5" s="169"/>
      <c r="M5" s="169"/>
      <c r="N5" s="169" t="s">
        <v>825</v>
      </c>
      <c r="O5" s="170" t="s">
        <v>825</v>
      </c>
    </row>
    <row r="6" spans="2:15">
      <c r="B6" s="162" t="s">
        <v>826</v>
      </c>
      <c r="C6" s="157" t="s">
        <v>827</v>
      </c>
      <c r="D6" s="169" t="s">
        <v>828</v>
      </c>
      <c r="E6" s="169"/>
      <c r="F6" s="169"/>
      <c r="G6" s="169"/>
      <c r="H6" s="169"/>
      <c r="I6" s="169"/>
      <c r="J6" s="169"/>
      <c r="K6" s="169" t="s">
        <v>828</v>
      </c>
      <c r="L6" s="169" t="s">
        <v>828</v>
      </c>
      <c r="M6" s="169" t="s">
        <v>828</v>
      </c>
      <c r="N6" s="169"/>
      <c r="O6" s="170"/>
    </row>
    <row r="7" spans="2:15">
      <c r="B7" s="162" t="s">
        <v>826</v>
      </c>
      <c r="C7" s="157" t="s">
        <v>829</v>
      </c>
      <c r="D7" s="169" t="s">
        <v>828</v>
      </c>
      <c r="E7" s="169" t="s">
        <v>828</v>
      </c>
      <c r="F7" s="169"/>
      <c r="G7" s="169"/>
      <c r="H7" s="169"/>
      <c r="I7" s="169"/>
      <c r="J7" s="169"/>
      <c r="K7" s="169"/>
      <c r="L7" s="169"/>
      <c r="M7" s="169"/>
      <c r="N7" s="169"/>
      <c r="O7" s="170"/>
    </row>
    <row r="8" spans="2:15">
      <c r="B8" s="162" t="s">
        <v>826</v>
      </c>
      <c r="C8" s="157" t="s">
        <v>830</v>
      </c>
      <c r="D8" s="169" t="s">
        <v>831</v>
      </c>
      <c r="E8" s="169" t="s">
        <v>831</v>
      </c>
      <c r="F8" s="169"/>
      <c r="G8" s="169"/>
      <c r="H8" s="169"/>
      <c r="I8" s="169"/>
      <c r="J8" s="169"/>
      <c r="K8" s="169"/>
      <c r="L8" s="169"/>
      <c r="M8" s="169"/>
      <c r="N8" s="169"/>
      <c r="O8" s="170"/>
    </row>
    <row r="9" spans="2:15" ht="16.8" thickBot="1">
      <c r="B9" s="171" t="s">
        <v>832</v>
      </c>
      <c r="C9" s="158" t="s">
        <v>833</v>
      </c>
      <c r="D9" s="172"/>
      <c r="E9" s="173"/>
      <c r="F9" s="173"/>
      <c r="G9" s="173"/>
      <c r="H9" s="173"/>
      <c r="I9" s="173"/>
      <c r="J9" s="172" t="s">
        <v>831</v>
      </c>
      <c r="K9" s="172"/>
      <c r="L9" s="172"/>
      <c r="M9" s="172"/>
      <c r="N9" s="173"/>
      <c r="O9" s="174"/>
    </row>
    <row r="10" spans="2:15">
      <c r="B10" s="175"/>
      <c r="C10" s="176"/>
    </row>
    <row r="11" spans="2:15">
      <c r="B11" s="176"/>
      <c r="C11" s="176"/>
    </row>
    <row r="12" spans="2:15">
      <c r="B12" s="176"/>
      <c r="C12" s="176"/>
    </row>
    <row r="13" spans="2:15">
      <c r="B13" s="176"/>
      <c r="C13" s="176"/>
    </row>
    <row r="14" spans="2:15">
      <c r="B14" s="176"/>
      <c r="C14" s="176"/>
    </row>
    <row r="15" spans="2:15">
      <c r="B15" s="176"/>
      <c r="C15" s="176"/>
    </row>
    <row r="16" spans="2:15">
      <c r="B16" s="176"/>
      <c r="C16" s="176"/>
    </row>
    <row r="17" spans="2:3">
      <c r="B17" s="176"/>
      <c r="C17" s="176"/>
    </row>
    <row r="18" spans="2:3">
      <c r="B18" s="176"/>
      <c r="C18" s="176"/>
    </row>
    <row r="19" spans="2:3">
      <c r="B19" s="176"/>
      <c r="C19" s="176"/>
    </row>
    <row r="20" spans="2:3">
      <c r="B20" s="176"/>
      <c r="C20" s="176"/>
    </row>
    <row r="21" spans="2:3">
      <c r="C21" s="176"/>
    </row>
    <row r="22" spans="2:3">
      <c r="C22" s="176"/>
    </row>
    <row r="23" spans="2:3">
      <c r="C23" s="176"/>
    </row>
    <row r="24" spans="2:3">
      <c r="C24" s="176"/>
    </row>
    <row r="25" spans="2:3">
      <c r="C25" s="176"/>
    </row>
    <row r="26" spans="2:3">
      <c r="C26" s="176"/>
    </row>
    <row r="27" spans="2:3">
      <c r="C27" s="176"/>
    </row>
    <row r="28" spans="2:3">
      <c r="C28" s="176"/>
    </row>
    <row r="29" spans="2:3">
      <c r="C29" s="176"/>
    </row>
    <row r="30" spans="2:3">
      <c r="C30" s="176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62"/>
  <sheetViews>
    <sheetView showGridLines="0" zoomScale="80" zoomScaleNormal="8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R3" sqref="R3"/>
    </sheetView>
  </sheetViews>
  <sheetFormatPr defaultColWidth="8.88671875" defaultRowHeight="16.8" outlineLevelRow="1"/>
  <cols>
    <col min="1" max="1" width="17.44140625" style="82" customWidth="1"/>
    <col min="2" max="2" width="10.21875" style="82" hidden="1" customWidth="1"/>
    <col min="3" max="3" width="10.21875" style="82" customWidth="1"/>
    <col min="4" max="7" width="10.21875" style="82" hidden="1" customWidth="1"/>
    <col min="8" max="8" width="13.44140625" style="93" customWidth="1"/>
    <col min="9" max="9" width="44.6640625" style="129" hidden="1" customWidth="1"/>
    <col min="10" max="10" width="25.44140625" style="82" hidden="1" customWidth="1"/>
    <col min="11" max="11" width="44.77734375" style="82" customWidth="1"/>
    <col min="12" max="12" width="34.33203125" style="82" customWidth="1"/>
    <col min="13" max="13" width="9.44140625" style="82" customWidth="1"/>
    <col min="14" max="14" width="21.109375" style="82" customWidth="1"/>
    <col min="15" max="15" width="21.77734375" style="84" customWidth="1"/>
    <col min="16" max="16" width="26.6640625" style="84" customWidth="1"/>
    <col min="17" max="17" width="21.21875" style="84" bestFit="1" customWidth="1"/>
    <col min="18" max="18" width="36.6640625" style="82" bestFit="1" customWidth="1"/>
    <col min="19" max="19" width="27.77734375" style="82" bestFit="1" customWidth="1"/>
    <col min="20" max="20" width="29.88671875" style="84" bestFit="1" customWidth="1"/>
    <col min="21" max="22" width="11.6640625" style="82" bestFit="1" customWidth="1"/>
    <col min="23" max="23" width="8.88671875" style="82" customWidth="1"/>
    <col min="24" max="24" width="9.109375" style="82" customWidth="1"/>
    <col min="25" max="25" width="8.88671875" style="82" customWidth="1"/>
    <col min="26" max="26" width="16.6640625" style="82" customWidth="1"/>
    <col min="27" max="27" width="17.88671875" style="82" customWidth="1"/>
    <col min="28" max="28" width="20.77734375" style="82" bestFit="1" customWidth="1"/>
    <col min="29" max="29" width="15" style="93" customWidth="1"/>
    <col min="30" max="30" width="35" style="82" hidden="1" customWidth="1"/>
    <col min="31" max="31" width="38.21875" style="82" hidden="1" customWidth="1"/>
    <col min="32" max="32" width="17.44140625" style="82" hidden="1" customWidth="1"/>
    <col min="33" max="33" width="11.33203125" style="82" hidden="1" customWidth="1"/>
    <col min="34" max="34" width="41.44140625" style="82" hidden="1" customWidth="1"/>
    <col min="35" max="35" width="18.33203125" style="82" hidden="1" customWidth="1"/>
    <col min="36" max="36" width="10.77734375" style="82" hidden="1" customWidth="1"/>
    <col min="37" max="37" width="35.6640625" style="82" hidden="1" customWidth="1"/>
    <col min="38" max="38" width="19.44140625" style="82" hidden="1" customWidth="1"/>
    <col min="39" max="39" width="10.77734375" style="82" hidden="1" customWidth="1"/>
    <col min="40" max="40" width="35.109375" style="82" hidden="1" customWidth="1"/>
    <col min="41" max="41" width="17.21875" style="82" hidden="1" customWidth="1"/>
    <col min="42" max="42" width="9.77734375" style="82" hidden="1" customWidth="1"/>
    <col min="43" max="43" width="33.109375" style="82" hidden="1" customWidth="1"/>
    <col min="44" max="44" width="18.33203125" style="82" hidden="1" customWidth="1"/>
    <col min="45" max="45" width="13" style="82" hidden="1" customWidth="1"/>
    <col min="46" max="46" width="31.44140625" style="82" hidden="1" customWidth="1"/>
    <col min="47" max="47" width="18" style="82" hidden="1" customWidth="1"/>
    <col min="48" max="48" width="10.44140625" style="82" hidden="1" customWidth="1"/>
    <col min="49" max="49" width="36.33203125" style="82" hidden="1" customWidth="1"/>
    <col min="50" max="50" width="20" style="82" hidden="1" customWidth="1"/>
    <col min="51" max="51" width="12.77734375" style="82" hidden="1" customWidth="1"/>
    <col min="52" max="52" width="32.21875" style="84" hidden="1" customWidth="1"/>
    <col min="53" max="53" width="14.21875" style="84" bestFit="1" customWidth="1"/>
    <col min="54" max="54" width="18.44140625" style="82" customWidth="1"/>
    <col min="55" max="55" width="10.44140625" style="82" bestFit="1" customWidth="1"/>
    <col min="56" max="16384" width="8.88671875" style="82"/>
  </cols>
  <sheetData>
    <row r="1" spans="1:58" s="127" customFormat="1" ht="30" customHeight="1">
      <c r="A1" s="118" t="s">
        <v>916</v>
      </c>
      <c r="B1" s="118" t="s">
        <v>938</v>
      </c>
      <c r="C1" s="118" t="s">
        <v>939</v>
      </c>
      <c r="D1" s="118" t="s">
        <v>940</v>
      </c>
      <c r="E1" s="118" t="s">
        <v>941</v>
      </c>
      <c r="F1" s="118" t="s">
        <v>942</v>
      </c>
      <c r="G1" s="118" t="s">
        <v>943</v>
      </c>
      <c r="H1" s="118" t="s">
        <v>890</v>
      </c>
      <c r="I1" s="118" t="s">
        <v>917</v>
      </c>
      <c r="J1" s="119" t="s">
        <v>945</v>
      </c>
      <c r="K1" s="119" t="s">
        <v>946</v>
      </c>
      <c r="L1" s="120" t="s">
        <v>918</v>
      </c>
      <c r="M1" s="119" t="s">
        <v>834</v>
      </c>
      <c r="N1" s="120" t="s">
        <v>893</v>
      </c>
      <c r="O1" s="120" t="s">
        <v>894</v>
      </c>
      <c r="P1" s="120" t="s">
        <v>895</v>
      </c>
      <c r="Q1" s="120" t="s">
        <v>896</v>
      </c>
      <c r="R1" s="212" t="s">
        <v>1438</v>
      </c>
      <c r="S1" s="212" t="s">
        <v>1168</v>
      </c>
      <c r="T1" s="212" t="s">
        <v>1169</v>
      </c>
      <c r="U1" s="121" t="s">
        <v>919</v>
      </c>
      <c r="V1" s="121" t="s">
        <v>920</v>
      </c>
      <c r="W1" s="121" t="s">
        <v>921</v>
      </c>
      <c r="X1" s="121" t="s">
        <v>922</v>
      </c>
      <c r="Y1" s="121" t="s">
        <v>884</v>
      </c>
      <c r="Z1" s="121" t="s">
        <v>891</v>
      </c>
      <c r="AA1" s="121" t="s">
        <v>892</v>
      </c>
      <c r="AB1" s="122" t="s">
        <v>883</v>
      </c>
      <c r="AC1" s="121" t="s">
        <v>882</v>
      </c>
      <c r="AD1" s="123" t="s">
        <v>937</v>
      </c>
      <c r="AE1" s="123" t="s">
        <v>897</v>
      </c>
      <c r="AF1" s="123" t="s">
        <v>874</v>
      </c>
      <c r="AG1" s="124" t="s">
        <v>875</v>
      </c>
      <c r="AH1" s="123" t="s">
        <v>898</v>
      </c>
      <c r="AI1" s="123" t="s">
        <v>868</v>
      </c>
      <c r="AJ1" s="124" t="s">
        <v>869</v>
      </c>
      <c r="AK1" s="123" t="s">
        <v>899</v>
      </c>
      <c r="AL1" s="123" t="s">
        <v>870</v>
      </c>
      <c r="AM1" s="124" t="s">
        <v>871</v>
      </c>
      <c r="AN1" s="123" t="s">
        <v>900</v>
      </c>
      <c r="AO1" s="123" t="s">
        <v>872</v>
      </c>
      <c r="AP1" s="124" t="s">
        <v>873</v>
      </c>
      <c r="AQ1" s="123" t="s">
        <v>901</v>
      </c>
      <c r="AR1" s="123" t="s">
        <v>874</v>
      </c>
      <c r="AS1" s="124" t="s">
        <v>875</v>
      </c>
      <c r="AT1" s="123" t="s">
        <v>902</v>
      </c>
      <c r="AU1" s="123" t="s">
        <v>876</v>
      </c>
      <c r="AV1" s="124" t="s">
        <v>869</v>
      </c>
      <c r="AW1" s="123" t="s">
        <v>903</v>
      </c>
      <c r="AX1" s="123" t="s">
        <v>877</v>
      </c>
      <c r="AY1" s="124" t="s">
        <v>871</v>
      </c>
      <c r="AZ1" s="119" t="s">
        <v>849</v>
      </c>
      <c r="BA1" s="119" t="s">
        <v>196</v>
      </c>
      <c r="BB1" s="84"/>
      <c r="BC1" s="125"/>
      <c r="BD1" s="126"/>
      <c r="BF1" s="128"/>
    </row>
    <row r="2" spans="1:58" s="113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5"/>
      <c r="K2" s="116"/>
      <c r="L2" s="81"/>
      <c r="M2" s="81"/>
      <c r="N2" s="114"/>
      <c r="O2" s="81"/>
      <c r="P2" s="81"/>
      <c r="Q2" s="81" t="s">
        <v>1456</v>
      </c>
      <c r="R2" s="78" t="s">
        <v>1457</v>
      </c>
      <c r="S2" s="78" t="s">
        <v>1442</v>
      </c>
      <c r="T2" s="81"/>
      <c r="U2" s="78"/>
      <c r="V2" s="78"/>
      <c r="W2" s="78"/>
      <c r="X2" s="78"/>
      <c r="Y2" s="78"/>
      <c r="Z2" s="78"/>
      <c r="AA2" s="78"/>
      <c r="AB2" s="117"/>
      <c r="AC2" s="115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3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5"/>
      <c r="K3" s="116"/>
      <c r="L3" s="81"/>
      <c r="M3" s="81"/>
      <c r="N3" s="114"/>
      <c r="O3" s="81"/>
      <c r="P3" s="81"/>
      <c r="Q3" s="81" t="s">
        <v>1456</v>
      </c>
      <c r="R3" s="78"/>
      <c r="S3" s="78"/>
      <c r="T3" s="81"/>
      <c r="U3" s="78"/>
      <c r="V3" s="78"/>
      <c r="W3" s="78"/>
      <c r="X3" s="78"/>
      <c r="Y3" s="78"/>
      <c r="Z3" s="78"/>
      <c r="AA3" s="78"/>
      <c r="AB3" s="117"/>
      <c r="AC3" s="115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3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5"/>
      <c r="K4" s="116"/>
      <c r="L4" s="81"/>
      <c r="M4" s="81"/>
      <c r="N4" s="114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7"/>
      <c r="AC4" s="115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3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5"/>
      <c r="K5" s="116"/>
      <c r="L5" s="81"/>
      <c r="M5" s="81"/>
      <c r="N5" s="114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7"/>
      <c r="AC5" s="115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3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5"/>
      <c r="K6" s="116"/>
      <c r="L6" s="81"/>
      <c r="M6" s="81"/>
      <c r="N6" s="114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7"/>
      <c r="AC6" s="115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3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5"/>
      <c r="K7" s="116"/>
      <c r="L7" s="81"/>
      <c r="M7" s="81"/>
      <c r="N7" s="114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7"/>
      <c r="AC7" s="115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3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5"/>
      <c r="K8" s="116"/>
      <c r="L8" s="81"/>
      <c r="M8" s="81"/>
      <c r="N8" s="114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7"/>
      <c r="AC8" s="115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3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5"/>
      <c r="K9" s="116"/>
      <c r="L9" s="81"/>
      <c r="M9" s="81"/>
      <c r="N9" s="114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7"/>
      <c r="AC9" s="115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3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5"/>
      <c r="K10" s="116"/>
      <c r="L10" s="81"/>
      <c r="M10" s="81"/>
      <c r="N10" s="114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7"/>
      <c r="AC10" s="115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3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5"/>
      <c r="K11" s="116"/>
      <c r="L11" s="81"/>
      <c r="M11" s="81"/>
      <c r="N11" s="114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7"/>
      <c r="AC11" s="115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3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5"/>
      <c r="K12" s="116"/>
      <c r="L12" s="81"/>
      <c r="M12" s="81"/>
      <c r="N12" s="114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7"/>
      <c r="AC12" s="115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3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5"/>
      <c r="K13" s="116"/>
      <c r="L13" s="81"/>
      <c r="M13" s="81"/>
      <c r="N13" s="114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7"/>
      <c r="AC13" s="115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3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5"/>
      <c r="K14" s="116"/>
      <c r="L14" s="81"/>
      <c r="M14" s="81"/>
      <c r="N14" s="114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7"/>
      <c r="AC14" s="115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3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5"/>
      <c r="K15" s="116"/>
      <c r="L15" s="81"/>
      <c r="M15" s="81"/>
      <c r="N15" s="114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7"/>
      <c r="AC15" s="115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3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5"/>
      <c r="K16" s="116"/>
      <c r="L16" s="81"/>
      <c r="M16" s="81"/>
      <c r="N16" s="114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7"/>
      <c r="AC16" s="115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3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5"/>
      <c r="K17" s="116"/>
      <c r="L17" s="81"/>
      <c r="M17" s="81"/>
      <c r="N17" s="114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7"/>
      <c r="AC17" s="115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3" customFormat="1">
      <c r="A18" s="81"/>
      <c r="B18" s="81"/>
      <c r="C18" s="81"/>
      <c r="D18" s="81"/>
      <c r="E18" s="81"/>
      <c r="F18" s="81"/>
      <c r="G18" s="81"/>
      <c r="H18" s="81"/>
      <c r="I18" s="77"/>
      <c r="J18" s="115"/>
      <c r="K18" s="116"/>
      <c r="L18" s="81"/>
      <c r="M18" s="81"/>
      <c r="N18" s="114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7"/>
      <c r="AC18" s="115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3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5"/>
      <c r="K19" s="116"/>
      <c r="L19" s="81"/>
      <c r="M19" s="81"/>
      <c r="N19" s="114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7"/>
      <c r="AC19" s="115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3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5"/>
      <c r="K20" s="116"/>
      <c r="L20" s="81"/>
      <c r="M20" s="81"/>
      <c r="N20" s="114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7"/>
      <c r="AC20" s="115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3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5"/>
      <c r="K21" s="116"/>
      <c r="L21" s="81"/>
      <c r="M21" s="81"/>
      <c r="N21" s="114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7"/>
      <c r="AC21" s="115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3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5"/>
      <c r="K22" s="116"/>
      <c r="L22" s="81"/>
      <c r="M22" s="81"/>
      <c r="N22" s="114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7"/>
      <c r="AC22" s="115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3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5"/>
      <c r="K23" s="116"/>
      <c r="L23" s="81"/>
      <c r="M23" s="81"/>
      <c r="N23" s="114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7"/>
      <c r="AC23" s="115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3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5"/>
      <c r="K24" s="116"/>
      <c r="L24" s="81"/>
      <c r="M24" s="81"/>
      <c r="N24" s="114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7"/>
      <c r="AC24" s="115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3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5"/>
      <c r="K25" s="116"/>
      <c r="L25" s="81"/>
      <c r="M25" s="81"/>
      <c r="N25" s="114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7"/>
      <c r="AC25" s="115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3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5"/>
      <c r="K26" s="116"/>
      <c r="L26" s="81"/>
      <c r="M26" s="81"/>
      <c r="N26" s="114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7"/>
      <c r="AC26" s="115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3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5"/>
      <c r="K27" s="116"/>
      <c r="L27" s="81"/>
      <c r="M27" s="81"/>
      <c r="N27" s="114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7"/>
      <c r="AC27" s="115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3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5"/>
      <c r="K28" s="116"/>
      <c r="L28" s="81"/>
      <c r="M28" s="81"/>
      <c r="N28" s="114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7"/>
      <c r="AC28" s="115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3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5"/>
      <c r="K29" s="116"/>
      <c r="L29" s="81"/>
      <c r="M29" s="81"/>
      <c r="N29" s="114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7"/>
      <c r="AC29" s="115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3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5"/>
      <c r="K30" s="116"/>
      <c r="L30" s="81"/>
      <c r="M30" s="81"/>
      <c r="N30" s="114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7"/>
      <c r="AC30" s="115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3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5"/>
      <c r="K31" s="116"/>
      <c r="L31" s="81"/>
      <c r="M31" s="81"/>
      <c r="N31" s="114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7"/>
      <c r="AC31" s="115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3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5"/>
      <c r="K32" s="116"/>
      <c r="L32" s="81"/>
      <c r="M32" s="81"/>
      <c r="N32" s="114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7"/>
      <c r="AC32" s="115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3" customFormat="1">
      <c r="A33" s="81"/>
      <c r="B33" s="81"/>
      <c r="C33" s="81"/>
      <c r="D33" s="81"/>
      <c r="E33" s="81"/>
      <c r="F33" s="81"/>
      <c r="G33" s="81"/>
      <c r="H33" s="81"/>
      <c r="I33" s="77"/>
      <c r="J33" s="115"/>
      <c r="K33" s="116"/>
      <c r="L33" s="81"/>
      <c r="M33" s="81"/>
      <c r="N33" s="114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7"/>
      <c r="AC33" s="115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3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5"/>
      <c r="K34" s="116"/>
      <c r="L34" s="81"/>
      <c r="M34" s="81"/>
      <c r="N34" s="114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7"/>
      <c r="AC34" s="115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3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5"/>
      <c r="K35" s="116"/>
      <c r="L35" s="81"/>
      <c r="M35" s="81"/>
      <c r="N35" s="114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7"/>
      <c r="AC35" s="115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3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5"/>
      <c r="K36" s="116"/>
      <c r="L36" s="81"/>
      <c r="M36" s="81"/>
      <c r="N36" s="114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7"/>
      <c r="AC36" s="115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3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5"/>
      <c r="K37" s="116"/>
      <c r="L37" s="81"/>
      <c r="M37" s="81"/>
      <c r="N37" s="114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7"/>
      <c r="AC37" s="115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3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5"/>
      <c r="K38" s="116"/>
      <c r="L38" s="81"/>
      <c r="M38" s="81"/>
      <c r="N38" s="114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7"/>
      <c r="AC38" s="115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3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5"/>
      <c r="K39" s="116"/>
      <c r="L39" s="81"/>
      <c r="M39" s="81"/>
      <c r="N39" s="114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7"/>
      <c r="AC39" s="115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3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5"/>
      <c r="K40" s="116"/>
      <c r="L40" s="81"/>
      <c r="M40" s="81"/>
      <c r="N40" s="114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7"/>
      <c r="AC40" s="115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3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5"/>
      <c r="K41" s="116"/>
      <c r="L41" s="81"/>
      <c r="M41" s="81"/>
      <c r="N41" s="114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7"/>
      <c r="AC41" s="115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3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5"/>
      <c r="K42" s="116"/>
      <c r="L42" s="81"/>
      <c r="M42" s="81"/>
      <c r="N42" s="114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7"/>
      <c r="AC42" s="115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3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5"/>
      <c r="K43" s="116"/>
      <c r="L43" s="81"/>
      <c r="M43" s="81"/>
      <c r="N43" s="114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7"/>
      <c r="AC43" s="115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3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5"/>
      <c r="K44" s="116"/>
      <c r="L44" s="81"/>
      <c r="M44" s="81"/>
      <c r="N44" s="114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7"/>
      <c r="AC44" s="115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3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5"/>
      <c r="K45" s="116"/>
      <c r="L45" s="81"/>
      <c r="M45" s="81"/>
      <c r="N45" s="114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7"/>
      <c r="AC45" s="115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5"/>
      <c r="K46" s="116"/>
      <c r="L46" s="81"/>
      <c r="M46" s="81"/>
      <c r="N46" s="114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7"/>
      <c r="AC46" s="115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5"/>
      <c r="K47" s="116"/>
      <c r="L47" s="81"/>
      <c r="M47" s="81"/>
      <c r="N47" s="114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7"/>
      <c r="AC47" s="115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5"/>
      <c r="K48" s="116"/>
      <c r="L48" s="81"/>
      <c r="M48" s="81"/>
      <c r="N48" s="114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7"/>
      <c r="AC48" s="115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5"/>
      <c r="K49" s="116"/>
      <c r="L49" s="81"/>
      <c r="M49" s="81"/>
      <c r="N49" s="114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7"/>
      <c r="AC49" s="115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5"/>
      <c r="K50" s="116"/>
      <c r="L50" s="81"/>
      <c r="M50" s="81"/>
      <c r="N50" s="114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7"/>
      <c r="AC50" s="115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5"/>
      <c r="K51" s="116"/>
      <c r="L51" s="81"/>
      <c r="M51" s="81"/>
      <c r="N51" s="114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7"/>
      <c r="AC51" s="115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5"/>
      <c r="K52" s="116"/>
      <c r="L52" s="81"/>
      <c r="M52" s="81"/>
      <c r="N52" s="114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7"/>
      <c r="AC52" s="115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5"/>
      <c r="K53" s="116"/>
      <c r="L53" s="81"/>
      <c r="M53" s="81"/>
      <c r="N53" s="114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7"/>
      <c r="AC53" s="115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5"/>
      <c r="K54" s="116"/>
      <c r="L54" s="81"/>
      <c r="M54" s="81"/>
      <c r="N54" s="114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7"/>
      <c r="AC54" s="115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5"/>
      <c r="K55" s="116"/>
      <c r="L55" s="81"/>
      <c r="M55" s="81"/>
      <c r="N55" s="114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7"/>
      <c r="AC55" s="115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6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5"/>
      <c r="K56" s="116"/>
      <c r="L56" s="81"/>
      <c r="M56" s="81"/>
      <c r="N56" s="114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7"/>
      <c r="AC56" s="115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6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5"/>
      <c r="K57" s="116"/>
      <c r="L57" s="81"/>
      <c r="M57" s="81"/>
      <c r="N57" s="114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7"/>
      <c r="AC57" s="115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5"/>
      <c r="K58" s="116"/>
      <c r="L58" s="81"/>
      <c r="M58" s="81"/>
      <c r="N58" s="114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7"/>
      <c r="AC58" s="115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5"/>
      <c r="K59" s="116"/>
      <c r="L59" s="81"/>
      <c r="M59" s="81"/>
      <c r="N59" s="114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7"/>
      <c r="AC59" s="115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5"/>
      <c r="K60" s="116"/>
      <c r="L60" s="81"/>
      <c r="M60" s="81"/>
      <c r="N60" s="114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7"/>
      <c r="AC60" s="115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5"/>
      <c r="K61" s="116"/>
      <c r="L61" s="81"/>
      <c r="M61" s="81"/>
      <c r="N61" s="114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7"/>
      <c r="AC61" s="115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5"/>
      <c r="K62" s="116"/>
      <c r="L62" s="81"/>
      <c r="M62" s="81"/>
      <c r="N62" s="114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7"/>
      <c r="AC62" s="115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5"/>
      <c r="K63" s="116"/>
      <c r="L63" s="81"/>
      <c r="M63" s="81"/>
      <c r="N63" s="114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7"/>
      <c r="AC63" s="115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5"/>
      <c r="K64" s="116"/>
      <c r="L64" s="81"/>
      <c r="M64" s="81"/>
      <c r="N64" s="114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7"/>
      <c r="AC64" s="115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5"/>
      <c r="K65" s="116"/>
      <c r="L65" s="81"/>
      <c r="M65" s="81"/>
      <c r="N65" s="114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7"/>
      <c r="AC65" s="115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5"/>
      <c r="K66" s="116"/>
      <c r="L66" s="81"/>
      <c r="M66" s="81"/>
      <c r="N66" s="114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7"/>
      <c r="AC66" s="115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5"/>
      <c r="K67" s="116"/>
      <c r="L67" s="81"/>
      <c r="M67" s="81"/>
      <c r="N67" s="114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7"/>
      <c r="AC67" s="115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5"/>
      <c r="K68" s="116"/>
      <c r="L68" s="81"/>
      <c r="M68" s="81"/>
      <c r="N68" s="114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7"/>
      <c r="AC68" s="115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6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5"/>
      <c r="K69" s="116"/>
      <c r="L69" s="81"/>
      <c r="M69" s="81"/>
      <c r="N69" s="114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7"/>
      <c r="AC69" s="115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6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5"/>
      <c r="K70" s="116"/>
      <c r="L70" s="81"/>
      <c r="M70" s="81"/>
      <c r="N70" s="114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7"/>
      <c r="AC70" s="115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5"/>
      <c r="K71" s="116"/>
      <c r="L71" s="81"/>
      <c r="M71" s="81"/>
      <c r="N71" s="114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7"/>
      <c r="AC71" s="115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5"/>
      <c r="K72" s="116"/>
      <c r="L72" s="81"/>
      <c r="M72" s="81"/>
      <c r="N72" s="114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7"/>
      <c r="AC72" s="115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5"/>
      <c r="K73" s="116"/>
      <c r="L73" s="81"/>
      <c r="M73" s="81"/>
      <c r="N73" s="114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7"/>
      <c r="AC73" s="115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5"/>
      <c r="K74" s="116"/>
      <c r="L74" s="81"/>
      <c r="M74" s="81"/>
      <c r="N74" s="114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7"/>
      <c r="AC74" s="115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5"/>
      <c r="K75" s="116"/>
      <c r="L75" s="81"/>
      <c r="M75" s="81"/>
      <c r="N75" s="114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7"/>
      <c r="AC75" s="115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5"/>
      <c r="K76" s="116"/>
      <c r="L76" s="81"/>
      <c r="M76" s="81"/>
      <c r="N76" s="114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7"/>
      <c r="AC76" s="115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5"/>
      <c r="K77" s="116"/>
      <c r="L77" s="81"/>
      <c r="M77" s="81"/>
      <c r="N77" s="114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7"/>
      <c r="AC77" s="115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5"/>
      <c r="K78" s="116"/>
      <c r="L78" s="81"/>
      <c r="M78" s="81"/>
      <c r="N78" s="114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7"/>
      <c r="AC78" s="115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5"/>
      <c r="K79" s="116"/>
      <c r="L79" s="81"/>
      <c r="M79" s="81"/>
      <c r="N79" s="114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7"/>
      <c r="AC79" s="115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5"/>
      <c r="K80" s="116"/>
      <c r="L80" s="81"/>
      <c r="M80" s="81"/>
      <c r="N80" s="114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7"/>
      <c r="AC80" s="115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5"/>
      <c r="K81" s="116"/>
      <c r="L81" s="81"/>
      <c r="M81" s="81"/>
      <c r="N81" s="114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7"/>
      <c r="AC81" s="115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5"/>
      <c r="K82" s="116"/>
      <c r="L82" s="81"/>
      <c r="M82" s="81"/>
      <c r="N82" s="114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7"/>
      <c r="AC82" s="115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5"/>
      <c r="K83" s="116"/>
      <c r="L83" s="81"/>
      <c r="M83" s="81"/>
      <c r="N83" s="114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7"/>
      <c r="AC83" s="115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5"/>
      <c r="K84" s="116"/>
      <c r="L84" s="81"/>
      <c r="M84" s="81"/>
      <c r="N84" s="114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7"/>
      <c r="AC84" s="115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5"/>
      <c r="K85" s="116"/>
      <c r="L85" s="81"/>
      <c r="M85" s="81"/>
      <c r="N85" s="114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7"/>
      <c r="AC85" s="115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5"/>
      <c r="K86" s="116"/>
      <c r="L86" s="81"/>
      <c r="M86" s="81"/>
      <c r="N86" s="114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7"/>
      <c r="AC86" s="115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5"/>
      <c r="K87" s="116"/>
      <c r="L87" s="81"/>
      <c r="M87" s="81"/>
      <c r="N87" s="114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7"/>
      <c r="AC87" s="115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5"/>
      <c r="K88" s="116"/>
      <c r="L88" s="81"/>
      <c r="M88" s="81"/>
      <c r="N88" s="114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7"/>
      <c r="AC88" s="115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5"/>
      <c r="K89" s="116"/>
      <c r="L89" s="81"/>
      <c r="M89" s="81"/>
      <c r="N89" s="114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7"/>
      <c r="AC89" s="115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5"/>
      <c r="K90" s="116"/>
      <c r="L90" s="81"/>
      <c r="M90" s="81"/>
      <c r="N90" s="114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7"/>
      <c r="AC90" s="115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5"/>
      <c r="K91" s="116"/>
      <c r="L91" s="81"/>
      <c r="M91" s="81"/>
      <c r="N91" s="114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7"/>
      <c r="AC91" s="115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5"/>
      <c r="K92" s="116"/>
      <c r="L92" s="81"/>
      <c r="M92" s="81"/>
      <c r="N92" s="114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7"/>
      <c r="AC92" s="115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5"/>
      <c r="K93" s="116"/>
      <c r="L93" s="81"/>
      <c r="M93" s="81"/>
      <c r="N93" s="114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7"/>
      <c r="AC93" s="115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5"/>
      <c r="K94" s="116"/>
      <c r="L94" s="81"/>
      <c r="M94" s="81"/>
      <c r="N94" s="114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7"/>
      <c r="AC94" s="115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5"/>
      <c r="K95" s="116"/>
      <c r="L95" s="81"/>
      <c r="M95" s="81"/>
      <c r="N95" s="114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7"/>
      <c r="AC95" s="115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5"/>
      <c r="K96" s="116"/>
      <c r="L96" s="81"/>
      <c r="M96" s="81"/>
      <c r="N96" s="114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7"/>
      <c r="AC96" s="115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5"/>
      <c r="K97" s="116"/>
      <c r="L97" s="81"/>
      <c r="M97" s="81"/>
      <c r="N97" s="114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7"/>
      <c r="AC97" s="115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5"/>
      <c r="K98" s="116"/>
      <c r="L98" s="81"/>
      <c r="M98" s="81"/>
      <c r="N98" s="114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7"/>
      <c r="AC98" s="115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5"/>
      <c r="K99" s="116"/>
      <c r="L99" s="81"/>
      <c r="M99" s="81"/>
      <c r="N99" s="114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7"/>
      <c r="AC99" s="115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5"/>
      <c r="K100" s="116"/>
      <c r="L100" s="81"/>
      <c r="M100" s="81"/>
      <c r="N100" s="114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7"/>
      <c r="AC100" s="115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5"/>
      <c r="K101" s="116"/>
      <c r="L101" s="81"/>
      <c r="M101" s="81"/>
      <c r="N101" s="114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7"/>
      <c r="AC101" s="115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5"/>
      <c r="K102" s="116"/>
      <c r="L102" s="81"/>
      <c r="M102" s="81"/>
      <c r="N102" s="114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7"/>
      <c r="AC102" s="115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5"/>
      <c r="K103" s="116"/>
      <c r="L103" s="81"/>
      <c r="M103" s="81"/>
      <c r="N103" s="114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7"/>
      <c r="AC103" s="115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5"/>
      <c r="K104" s="116"/>
      <c r="L104" s="81"/>
      <c r="M104" s="81"/>
      <c r="N104" s="114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7"/>
      <c r="AC104" s="115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5"/>
      <c r="K105" s="116"/>
      <c r="L105" s="81"/>
      <c r="M105" s="81"/>
      <c r="N105" s="114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7"/>
      <c r="AC105" s="115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5"/>
      <c r="K106" s="116"/>
      <c r="L106" s="81"/>
      <c r="M106" s="81"/>
      <c r="N106" s="114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7"/>
      <c r="AC106" s="115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5"/>
      <c r="K107" s="116"/>
      <c r="L107" s="81"/>
      <c r="M107" s="81"/>
      <c r="N107" s="114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7"/>
      <c r="AC107" s="115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5"/>
      <c r="K108" s="116"/>
      <c r="L108" s="81"/>
      <c r="M108" s="81"/>
      <c r="N108" s="114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7"/>
      <c r="AC108" s="115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5"/>
      <c r="K109" s="116"/>
      <c r="L109" s="81"/>
      <c r="M109" s="81"/>
      <c r="N109" s="114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7"/>
      <c r="AC109" s="115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5"/>
      <c r="K110" s="116"/>
      <c r="L110" s="81"/>
      <c r="M110" s="81"/>
      <c r="N110" s="114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7"/>
      <c r="AC110" s="115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5"/>
      <c r="K111" s="116"/>
      <c r="L111" s="81"/>
      <c r="M111" s="81"/>
      <c r="N111" s="114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7"/>
      <c r="AC111" s="115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5"/>
      <c r="K112" s="116"/>
      <c r="L112" s="81"/>
      <c r="M112" s="81"/>
      <c r="N112" s="114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7"/>
      <c r="AC112" s="115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5"/>
      <c r="K113" s="116"/>
      <c r="L113" s="81"/>
      <c r="M113" s="81"/>
      <c r="N113" s="114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7"/>
      <c r="AC113" s="115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5"/>
      <c r="K114" s="116"/>
      <c r="L114" s="81"/>
      <c r="M114" s="81"/>
      <c r="N114" s="114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7"/>
      <c r="AC114" s="115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5"/>
      <c r="K115" s="116"/>
      <c r="L115" s="81"/>
      <c r="M115" s="81"/>
      <c r="N115" s="114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7"/>
      <c r="AC115" s="115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5"/>
      <c r="K116" s="116"/>
      <c r="L116" s="81"/>
      <c r="M116" s="81"/>
      <c r="N116" s="114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7"/>
      <c r="AC116" s="115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5"/>
      <c r="K117" s="116"/>
      <c r="L117" s="81"/>
      <c r="M117" s="81"/>
      <c r="N117" s="114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7"/>
      <c r="AC117" s="115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5"/>
      <c r="K118" s="116"/>
      <c r="L118" s="81"/>
      <c r="M118" s="81"/>
      <c r="N118" s="114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7"/>
      <c r="AC118" s="115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5"/>
      <c r="K119" s="116"/>
      <c r="L119" s="81"/>
      <c r="M119" s="81"/>
      <c r="N119" s="114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7"/>
      <c r="AC119" s="115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5"/>
      <c r="K120" s="116"/>
      <c r="L120" s="81"/>
      <c r="M120" s="81"/>
      <c r="N120" s="114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7"/>
      <c r="AC120" s="115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5"/>
      <c r="K121" s="116"/>
      <c r="L121" s="81"/>
      <c r="M121" s="81"/>
      <c r="N121" s="114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7"/>
      <c r="AC121" s="115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5"/>
      <c r="K122" s="116"/>
      <c r="L122" s="81"/>
      <c r="M122" s="81"/>
      <c r="N122" s="114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7"/>
      <c r="AC122" s="115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5"/>
      <c r="K123" s="116"/>
      <c r="L123" s="81"/>
      <c r="M123" s="81"/>
      <c r="N123" s="114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7"/>
      <c r="AC123" s="115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5"/>
      <c r="K124" s="116"/>
      <c r="L124" s="81"/>
      <c r="M124" s="81"/>
      <c r="N124" s="114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7"/>
      <c r="AC124" s="115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5"/>
      <c r="K125" s="116"/>
      <c r="L125" s="81"/>
      <c r="M125" s="81"/>
      <c r="N125" s="114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7"/>
      <c r="AC125" s="115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5"/>
      <c r="K126" s="116"/>
      <c r="L126" s="81"/>
      <c r="M126" s="81"/>
      <c r="N126" s="114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7"/>
      <c r="AC126" s="115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5"/>
      <c r="K127" s="116"/>
      <c r="L127" s="81"/>
      <c r="M127" s="81"/>
      <c r="N127" s="114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7"/>
      <c r="AC127" s="115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5"/>
      <c r="K128" s="116"/>
      <c r="L128" s="81"/>
      <c r="M128" s="81"/>
      <c r="N128" s="114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7"/>
      <c r="AC128" s="115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5"/>
      <c r="K129" s="116"/>
      <c r="L129" s="81"/>
      <c r="M129" s="81"/>
      <c r="N129" s="114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7"/>
      <c r="AC129" s="115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5"/>
      <c r="K130" s="116"/>
      <c r="L130" s="81"/>
      <c r="M130" s="81"/>
      <c r="N130" s="114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7"/>
      <c r="AC130" s="115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5"/>
      <c r="K131" s="116"/>
      <c r="L131" s="81"/>
      <c r="M131" s="81"/>
      <c r="N131" s="114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7"/>
      <c r="AC131" s="115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5"/>
      <c r="K132" s="116"/>
      <c r="L132" s="81"/>
      <c r="M132" s="81"/>
      <c r="N132" s="114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7"/>
      <c r="AC132" s="115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5"/>
      <c r="K133" s="116"/>
      <c r="L133" s="81"/>
      <c r="M133" s="81"/>
      <c r="N133" s="114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7"/>
      <c r="AC133" s="115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5"/>
      <c r="K134" s="116"/>
      <c r="L134" s="81"/>
      <c r="M134" s="81"/>
      <c r="N134" s="114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7"/>
      <c r="AC134" s="115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5"/>
      <c r="K135" s="116"/>
      <c r="L135" s="81"/>
      <c r="M135" s="81"/>
      <c r="N135" s="114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7"/>
      <c r="AC135" s="115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5"/>
      <c r="K136" s="116"/>
      <c r="L136" s="81"/>
      <c r="M136" s="81"/>
      <c r="N136" s="114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7"/>
      <c r="AC136" s="115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5"/>
      <c r="K137" s="116"/>
      <c r="L137" s="81"/>
      <c r="M137" s="81"/>
      <c r="N137" s="114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7"/>
      <c r="AC137" s="115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5"/>
      <c r="K138" s="116"/>
      <c r="L138" s="81"/>
      <c r="M138" s="81"/>
      <c r="N138" s="114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7"/>
      <c r="AC138" s="115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5"/>
      <c r="K139" s="116"/>
      <c r="L139" s="81"/>
      <c r="M139" s="81"/>
      <c r="N139" s="114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7"/>
      <c r="AC139" s="115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5"/>
      <c r="K140" s="116"/>
      <c r="L140" s="81"/>
      <c r="M140" s="81"/>
      <c r="N140" s="114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7"/>
      <c r="AC140" s="115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5"/>
      <c r="K141" s="116"/>
      <c r="L141" s="81"/>
      <c r="M141" s="81"/>
      <c r="N141" s="114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7"/>
      <c r="AC141" s="115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5"/>
      <c r="K142" s="116"/>
      <c r="L142" s="81"/>
      <c r="M142" s="81"/>
      <c r="N142" s="114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7"/>
      <c r="AC142" s="115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5"/>
      <c r="K143" s="116"/>
      <c r="L143" s="81"/>
      <c r="M143" s="81"/>
      <c r="N143" s="114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7"/>
      <c r="AC143" s="115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5"/>
      <c r="K144" s="116"/>
      <c r="L144" s="81"/>
      <c r="M144" s="81"/>
      <c r="N144" s="114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7"/>
      <c r="AC144" s="115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5"/>
      <c r="K145" s="116"/>
      <c r="L145" s="81"/>
      <c r="M145" s="81"/>
      <c r="N145" s="114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7"/>
      <c r="AC145" s="115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5"/>
      <c r="K146" s="116"/>
      <c r="L146" s="81"/>
      <c r="M146" s="81"/>
      <c r="N146" s="114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7"/>
      <c r="AC146" s="115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5"/>
      <c r="K147" s="116"/>
      <c r="L147" s="81"/>
      <c r="M147" s="81"/>
      <c r="N147" s="114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7"/>
      <c r="AC147" s="115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5"/>
      <c r="K148" s="116"/>
      <c r="L148" s="81"/>
      <c r="M148" s="81"/>
      <c r="N148" s="114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7"/>
      <c r="AC148" s="115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5"/>
      <c r="K149" s="116"/>
      <c r="L149" s="81"/>
      <c r="M149" s="81"/>
      <c r="N149" s="114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7"/>
      <c r="AC149" s="115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5"/>
      <c r="K150" s="116"/>
      <c r="L150" s="81"/>
      <c r="M150" s="81"/>
      <c r="N150" s="114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7"/>
      <c r="AC150" s="115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5"/>
      <c r="K151" s="116"/>
      <c r="L151" s="81"/>
      <c r="M151" s="81"/>
      <c r="N151" s="114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7"/>
      <c r="AC151" s="115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5"/>
      <c r="K152" s="116"/>
      <c r="L152" s="81"/>
      <c r="M152" s="81"/>
      <c r="N152" s="114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7"/>
      <c r="AC152" s="115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5"/>
      <c r="K153" s="116"/>
      <c r="L153" s="81"/>
      <c r="M153" s="81"/>
      <c r="N153" s="114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7"/>
      <c r="AC153" s="115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5"/>
      <c r="K154" s="116"/>
      <c r="L154" s="81"/>
      <c r="M154" s="81"/>
      <c r="N154" s="114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7"/>
      <c r="AC154" s="115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5"/>
      <c r="K155" s="116"/>
      <c r="L155" s="81"/>
      <c r="M155" s="81"/>
      <c r="N155" s="114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7"/>
      <c r="AC155" s="115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5"/>
      <c r="K156" s="116"/>
      <c r="L156" s="81"/>
      <c r="M156" s="81"/>
      <c r="N156" s="114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7"/>
      <c r="AC156" s="115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5"/>
      <c r="K157" s="116"/>
      <c r="L157" s="81"/>
      <c r="M157" s="81"/>
      <c r="N157" s="114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7"/>
      <c r="AC157" s="115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5"/>
      <c r="K158" s="116"/>
      <c r="L158" s="81"/>
      <c r="M158" s="81"/>
      <c r="N158" s="114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7"/>
      <c r="AC158" s="115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5"/>
      <c r="K159" s="116"/>
      <c r="L159" s="81"/>
      <c r="M159" s="81"/>
      <c r="N159" s="114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7"/>
      <c r="AC159" s="115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5"/>
      <c r="K160" s="116"/>
      <c r="L160" s="81"/>
      <c r="M160" s="81"/>
      <c r="N160" s="114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7"/>
      <c r="AC160" s="115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5"/>
      <c r="K161" s="116"/>
      <c r="L161" s="81"/>
      <c r="M161" s="81"/>
      <c r="N161" s="114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7"/>
      <c r="AC161" s="115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5"/>
      <c r="K162" s="116"/>
      <c r="L162" s="81"/>
      <c r="M162" s="81"/>
      <c r="N162" s="114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7"/>
      <c r="AC162" s="115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>
      <formula1>INDIRECT(Q2)</formula1>
    </dataValidation>
    <dataValidation type="list" allowBlank="1" showInputMessage="1" showErrorMessage="1" sqref="AH2:AH162 AK2:AK162 AN2:AN162 AE2:AE162">
      <formula1>PROCESS</formula1>
    </dataValidation>
    <dataValidation type="list" allowBlank="1" showInputMessage="1" showErrorMessage="1" sqref="AQ2:AQ162 AT2:AT162 AW2:AW162">
      <formula1>FixtureCreate</formula1>
    </dataValidation>
    <dataValidation type="list" allowBlank="1" showInputMessage="1" showErrorMessage="1" sqref="O2:O162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Category!$A$3:$A$13</xm:f>
          </x14:formula1>
          <xm:sqref>A2:A162</xm:sqref>
        </x14:dataValidation>
        <x14:dataValidation type="list" allowBlank="1" showInputMessage="1" showErrorMessage="1">
          <x14:formula1>
            <xm:f>Category!$C$3:$C$7</xm:f>
          </x14:formula1>
          <xm:sqref>P2:P162</xm:sqref>
        </x14:dataValidation>
        <x14:dataValidation type="list" allowBlank="1" showInputMessage="1" showErrorMessage="1">
          <x14:formula1>
            <xm:f>Category!$AA$2:$AA$4</xm:f>
          </x14:formula1>
          <xm:sqref>N2:N162</xm:sqref>
        </x14:dataValidation>
        <x14:dataValidation type="list" allowBlank="1" showInputMessage="1" showErrorMessage="1">
          <x14:formula1>
            <xm:f>Category!$Z$2:$Z$12</xm:f>
          </x14:formula1>
          <xm:sqref>H2:H162</xm:sqref>
        </x14:dataValidation>
        <x14:dataValidation type="list" allowBlank="1" showInputMessage="1" showErrorMessage="1">
          <x14:formula1>
            <xm:f>Category!$AD$2:$AD$5</xm:f>
          </x14:formula1>
          <xm:sqref>L2:L162</xm:sqref>
        </x14:dataValidation>
        <x14:dataValidation type="list" allowBlank="1" showInputMessage="1" showErrorMessage="1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9"/>
  <sheetViews>
    <sheetView showGridLines="0" tabSelected="1" zoomScale="90" zoomScaleNormal="90" workbookViewId="0">
      <pane xSplit="2" ySplit="3" topLeftCell="D22" activePane="bottomRight" state="frozenSplit"/>
      <selection pane="topRight" activeCell="AF1" sqref="AF1:AS1"/>
      <selection pane="bottomLeft" activeCell="A4" sqref="A4"/>
      <selection pane="bottomRight" activeCell="B31" sqref="B31"/>
    </sheetView>
  </sheetViews>
  <sheetFormatPr defaultColWidth="8.77734375" defaultRowHeight="16.8"/>
  <cols>
    <col min="1" max="1" width="35.77734375" style="188" bestFit="1" customWidth="1"/>
    <col min="2" max="3" width="46.6640625" style="188" customWidth="1"/>
    <col min="4" max="4" width="39.109375" style="188" customWidth="1"/>
    <col min="5" max="5" width="85.44140625" style="188" customWidth="1"/>
    <col min="6" max="10" width="8.6640625" style="211" customWidth="1"/>
    <col min="11" max="12" width="15.6640625" style="211" customWidth="1"/>
    <col min="13" max="13" width="22.109375" style="211" bestFit="1" customWidth="1"/>
    <col min="14" max="14" width="18.44140625" style="211" customWidth="1"/>
    <col min="15" max="16384" width="8.77734375" style="188"/>
  </cols>
  <sheetData>
    <row r="1" spans="1:14" ht="34.950000000000003" customHeight="1">
      <c r="A1" s="187" t="s">
        <v>1198</v>
      </c>
      <c r="D1" s="189"/>
      <c r="F1" s="282"/>
      <c r="G1" s="283"/>
      <c r="H1" s="283"/>
      <c r="I1" s="283"/>
      <c r="J1" s="284"/>
      <c r="K1" s="285"/>
      <c r="L1" s="286"/>
      <c r="M1" s="190"/>
      <c r="N1" s="287" t="s">
        <v>1199</v>
      </c>
    </row>
    <row r="2" spans="1:14" ht="54" customHeight="1">
      <c r="A2" s="290" t="s">
        <v>1200</v>
      </c>
      <c r="B2" s="292" t="s">
        <v>1201</v>
      </c>
      <c r="C2" s="294" t="s">
        <v>1202</v>
      </c>
      <c r="D2" s="295" t="s">
        <v>1203</v>
      </c>
      <c r="E2" s="297" t="s">
        <v>1204</v>
      </c>
      <c r="F2" s="299" t="s">
        <v>1205</v>
      </c>
      <c r="G2" s="300"/>
      <c r="H2" s="300"/>
      <c r="I2" s="300"/>
      <c r="J2" s="301"/>
      <c r="K2" s="279" t="s">
        <v>1206</v>
      </c>
      <c r="L2" s="302"/>
      <c r="M2" s="279" t="s">
        <v>1207</v>
      </c>
      <c r="N2" s="288"/>
    </row>
    <row r="3" spans="1:14" ht="35.700000000000003" customHeight="1">
      <c r="A3" s="291"/>
      <c r="B3" s="293"/>
      <c r="C3" s="294"/>
      <c r="D3" s="296"/>
      <c r="E3" s="298"/>
      <c r="F3" s="216" t="s">
        <v>1208</v>
      </c>
      <c r="G3" s="216" t="s">
        <v>1209</v>
      </c>
      <c r="H3" s="216" t="s">
        <v>1210</v>
      </c>
      <c r="I3" s="216" t="s">
        <v>1211</v>
      </c>
      <c r="J3" s="216" t="s">
        <v>1212</v>
      </c>
      <c r="K3" s="216" t="s">
        <v>1213</v>
      </c>
      <c r="L3" s="216" t="s">
        <v>1214</v>
      </c>
      <c r="M3" s="279"/>
      <c r="N3" s="289"/>
    </row>
    <row r="4" spans="1:14" ht="16.2" customHeight="1">
      <c r="A4" s="272" t="s">
        <v>1215</v>
      </c>
      <c r="B4" s="220" t="s">
        <v>1216</v>
      </c>
      <c r="C4" s="221" t="s">
        <v>1218</v>
      </c>
      <c r="D4" s="192"/>
      <c r="E4" s="85" t="s">
        <v>1219</v>
      </c>
      <c r="F4" s="215"/>
      <c r="G4" s="215"/>
      <c r="H4" s="215"/>
      <c r="I4" s="215"/>
      <c r="J4" s="215"/>
      <c r="K4" s="215"/>
      <c r="L4" s="215"/>
      <c r="M4" s="194"/>
      <c r="N4" s="195"/>
    </row>
    <row r="5" spans="1:14" ht="16.2" customHeight="1">
      <c r="A5" s="273"/>
      <c r="B5" s="220" t="s">
        <v>1220</v>
      </c>
      <c r="C5" s="221" t="s">
        <v>1218</v>
      </c>
      <c r="D5" s="192"/>
      <c r="E5" s="85" t="s">
        <v>1219</v>
      </c>
      <c r="F5" s="218"/>
      <c r="G5" s="218"/>
      <c r="H5" s="218"/>
      <c r="I5" s="218"/>
      <c r="J5" s="218"/>
      <c r="K5" s="218"/>
      <c r="L5" s="218"/>
      <c r="M5" s="218"/>
      <c r="N5" s="218"/>
    </row>
    <row r="6" spans="1:14" ht="16.2" customHeight="1">
      <c r="A6" s="273"/>
      <c r="B6" s="198" t="s">
        <v>1371</v>
      </c>
      <c r="C6" s="221" t="s">
        <v>1218</v>
      </c>
      <c r="D6" s="192" t="s">
        <v>1166</v>
      </c>
      <c r="E6" s="85" t="s">
        <v>1219</v>
      </c>
      <c r="F6" s="218"/>
      <c r="G6" s="218"/>
      <c r="H6" s="218"/>
      <c r="I6" s="218"/>
      <c r="J6" s="218"/>
      <c r="K6" s="218"/>
      <c r="L6" s="218"/>
      <c r="M6" s="218"/>
      <c r="N6" s="218"/>
    </row>
    <row r="7" spans="1:14" ht="16.2" customHeight="1">
      <c r="A7" s="273"/>
      <c r="B7" s="220" t="s">
        <v>1221</v>
      </c>
      <c r="C7" s="221" t="s">
        <v>1218</v>
      </c>
      <c r="D7" s="201" t="s">
        <v>1167</v>
      </c>
      <c r="E7" s="85" t="s">
        <v>1219</v>
      </c>
      <c r="F7" s="218"/>
      <c r="G7" s="218"/>
      <c r="H7" s="218"/>
      <c r="I7" s="218"/>
      <c r="J7" s="218"/>
      <c r="K7" s="218"/>
      <c r="L7" s="218"/>
      <c r="M7" s="218"/>
      <c r="N7" s="218"/>
    </row>
    <row r="8" spans="1:14" ht="16.2" customHeight="1">
      <c r="A8" s="273"/>
      <c r="B8" s="220" t="s">
        <v>1222</v>
      </c>
      <c r="C8" s="221" t="s">
        <v>1218</v>
      </c>
      <c r="D8" s="196"/>
      <c r="E8" s="85" t="s">
        <v>1219</v>
      </c>
      <c r="F8" s="218"/>
      <c r="G8" s="218"/>
      <c r="H8" s="218"/>
      <c r="I8" s="218"/>
      <c r="J8" s="218"/>
      <c r="K8" s="218"/>
      <c r="L8" s="218"/>
      <c r="M8" s="218"/>
      <c r="N8" s="218"/>
    </row>
    <row r="9" spans="1:14" ht="16.2" customHeight="1">
      <c r="A9" s="273"/>
      <c r="B9" s="220" t="s">
        <v>1223</v>
      </c>
      <c r="C9" s="221" t="s">
        <v>1218</v>
      </c>
      <c r="D9" s="201" t="s">
        <v>1167</v>
      </c>
      <c r="E9" s="85" t="s">
        <v>1219</v>
      </c>
      <c r="F9" s="218"/>
      <c r="G9" s="218"/>
      <c r="H9" s="218"/>
      <c r="I9" s="218"/>
      <c r="J9" s="218"/>
      <c r="K9" s="218"/>
      <c r="L9" s="218"/>
      <c r="M9" s="218"/>
      <c r="N9" s="218"/>
    </row>
    <row r="10" spans="1:14" ht="16.2" customHeight="1">
      <c r="A10" s="273"/>
      <c r="B10" s="220" t="s">
        <v>1224</v>
      </c>
      <c r="C10" s="221" t="s">
        <v>1218</v>
      </c>
      <c r="D10" s="192"/>
      <c r="E10" s="85" t="s">
        <v>1219</v>
      </c>
      <c r="F10" s="218"/>
      <c r="G10" s="218"/>
      <c r="H10" s="218"/>
      <c r="I10" s="218"/>
      <c r="J10" s="218"/>
      <c r="K10" s="218"/>
      <c r="L10" s="218"/>
      <c r="M10" s="218"/>
      <c r="N10" s="218"/>
    </row>
    <row r="11" spans="1:14" ht="16.2" customHeight="1">
      <c r="A11" s="273"/>
      <c r="B11" s="220" t="s">
        <v>1225</v>
      </c>
      <c r="C11" s="221" t="s">
        <v>1218</v>
      </c>
      <c r="D11" s="192"/>
      <c r="E11" s="85" t="s">
        <v>1219</v>
      </c>
      <c r="F11" s="218"/>
      <c r="G11" s="218"/>
      <c r="H11" s="218"/>
      <c r="I11" s="218"/>
      <c r="J11" s="218"/>
      <c r="K11" s="218"/>
      <c r="L11" s="218"/>
      <c r="M11" s="218"/>
      <c r="N11" s="218"/>
    </row>
    <row r="12" spans="1:14" ht="16.2" customHeight="1">
      <c r="A12" s="273"/>
      <c r="B12" s="220" t="s">
        <v>1226</v>
      </c>
      <c r="C12" s="221" t="s">
        <v>1218</v>
      </c>
      <c r="D12" s="192"/>
      <c r="E12" s="85" t="s">
        <v>1219</v>
      </c>
      <c r="F12" s="218"/>
      <c r="G12" s="218"/>
      <c r="H12" s="218"/>
      <c r="I12" s="218"/>
      <c r="J12" s="218"/>
      <c r="K12" s="218"/>
      <c r="L12" s="218"/>
      <c r="M12" s="218"/>
      <c r="N12" s="218"/>
    </row>
    <row r="13" spans="1:14" ht="16.2" customHeight="1">
      <c r="A13" s="273"/>
      <c r="B13" s="220" t="s">
        <v>1227</v>
      </c>
      <c r="C13" s="221" t="s">
        <v>1218</v>
      </c>
      <c r="D13" s="192"/>
      <c r="E13" s="85" t="s">
        <v>1219</v>
      </c>
      <c r="F13" s="218"/>
      <c r="G13" s="218"/>
      <c r="H13" s="218"/>
      <c r="I13" s="218"/>
      <c r="J13" s="218"/>
      <c r="K13" s="218"/>
      <c r="L13" s="218"/>
      <c r="M13" s="218"/>
      <c r="N13" s="218"/>
    </row>
    <row r="14" spans="1:14" ht="16.2" customHeight="1">
      <c r="A14" s="273"/>
      <c r="B14" s="220" t="s">
        <v>1228</v>
      </c>
      <c r="C14" s="221" t="s">
        <v>1229</v>
      </c>
      <c r="D14" s="192"/>
      <c r="E14" s="85" t="s">
        <v>1230</v>
      </c>
      <c r="F14" s="218"/>
      <c r="G14" s="218"/>
      <c r="H14" s="218"/>
      <c r="I14" s="218"/>
      <c r="J14" s="218"/>
      <c r="K14" s="218"/>
      <c r="L14" s="218"/>
      <c r="M14" s="218"/>
      <c r="N14" s="218"/>
    </row>
    <row r="15" spans="1:14" ht="16.2" customHeight="1">
      <c r="A15" s="273"/>
      <c r="B15" s="220" t="s">
        <v>1231</v>
      </c>
      <c r="C15" s="221" t="s">
        <v>1218</v>
      </c>
      <c r="D15" s="192"/>
      <c r="E15" s="85" t="s">
        <v>1219</v>
      </c>
      <c r="F15" s="218"/>
      <c r="G15" s="218"/>
      <c r="H15" s="218"/>
      <c r="I15" s="218"/>
      <c r="J15" s="218"/>
      <c r="K15" s="218"/>
      <c r="L15" s="218"/>
      <c r="M15" s="218"/>
      <c r="N15" s="218"/>
    </row>
    <row r="16" spans="1:14" ht="16.2" customHeight="1">
      <c r="A16" s="273"/>
      <c r="B16" s="220" t="s">
        <v>1232</v>
      </c>
      <c r="C16" s="221" t="s">
        <v>1218</v>
      </c>
      <c r="D16" s="192"/>
      <c r="E16" s="85" t="s">
        <v>1219</v>
      </c>
      <c r="F16" s="218"/>
      <c r="G16" s="218"/>
      <c r="H16" s="218"/>
      <c r="I16" s="218"/>
      <c r="J16" s="218"/>
      <c r="K16" s="218"/>
      <c r="L16" s="218"/>
      <c r="M16" s="218"/>
      <c r="N16" s="218"/>
    </row>
    <row r="17" spans="1:14" ht="16.2" customHeight="1">
      <c r="A17" s="273"/>
      <c r="B17" s="220" t="s">
        <v>1233</v>
      </c>
      <c r="C17" s="221" t="s">
        <v>1218</v>
      </c>
      <c r="D17" s="192"/>
      <c r="E17" s="85" t="s">
        <v>1219</v>
      </c>
      <c r="F17" s="218"/>
      <c r="G17" s="218"/>
      <c r="H17" s="218"/>
      <c r="I17" s="218"/>
      <c r="J17" s="218"/>
      <c r="K17" s="218"/>
      <c r="L17" s="218"/>
      <c r="M17" s="218"/>
      <c r="N17" s="218"/>
    </row>
    <row r="18" spans="1:14" ht="16.2" customHeight="1">
      <c r="A18" s="273"/>
      <c r="B18" s="220" t="s">
        <v>1234</v>
      </c>
      <c r="C18" s="221" t="s">
        <v>1218</v>
      </c>
      <c r="D18" s="192"/>
      <c r="E18" s="85" t="s">
        <v>1219</v>
      </c>
      <c r="F18" s="218"/>
      <c r="G18" s="218"/>
      <c r="H18" s="218"/>
      <c r="I18" s="218"/>
      <c r="J18" s="218"/>
      <c r="K18" s="218"/>
      <c r="L18" s="218"/>
      <c r="M18" s="218"/>
      <c r="N18" s="218"/>
    </row>
    <row r="19" spans="1:14" ht="16.2" customHeight="1">
      <c r="A19" s="273"/>
      <c r="B19" s="220" t="s">
        <v>1235</v>
      </c>
      <c r="C19" s="221" t="s">
        <v>1218</v>
      </c>
      <c r="D19" s="197"/>
      <c r="E19" s="85" t="s">
        <v>1219</v>
      </c>
      <c r="F19" s="218"/>
      <c r="G19" s="218"/>
      <c r="H19" s="218"/>
      <c r="I19" s="218"/>
      <c r="J19" s="218"/>
      <c r="K19" s="218"/>
      <c r="L19" s="218"/>
      <c r="M19" s="218"/>
      <c r="N19" s="218"/>
    </row>
    <row r="20" spans="1:14" ht="16.2" customHeight="1">
      <c r="A20" s="273"/>
      <c r="B20" s="220" t="s">
        <v>1236</v>
      </c>
      <c r="C20" s="221" t="s">
        <v>1218</v>
      </c>
      <c r="D20" s="197"/>
      <c r="E20" s="85" t="s">
        <v>1219</v>
      </c>
      <c r="F20" s="218"/>
      <c r="G20" s="218"/>
      <c r="H20" s="218"/>
      <c r="I20" s="218"/>
      <c r="J20" s="218"/>
      <c r="K20" s="218"/>
      <c r="L20" s="218"/>
      <c r="M20" s="218"/>
      <c r="N20" s="218"/>
    </row>
    <row r="21" spans="1:14" ht="16.2" customHeight="1">
      <c r="A21" s="272" t="s">
        <v>1237</v>
      </c>
      <c r="B21" s="191" t="s">
        <v>1238</v>
      </c>
      <c r="C21" s="193"/>
      <c r="D21" s="199" t="s">
        <v>1239</v>
      </c>
      <c r="E21" s="222" t="s">
        <v>1240</v>
      </c>
      <c r="F21" s="218" t="s">
        <v>1241</v>
      </c>
      <c r="G21" s="218" t="s">
        <v>1241</v>
      </c>
      <c r="H21" s="218" t="s">
        <v>1241</v>
      </c>
      <c r="I21" s="218"/>
      <c r="J21" s="218"/>
      <c r="K21" s="218"/>
      <c r="L21" s="218"/>
      <c r="M21" s="218" t="s">
        <v>1241</v>
      </c>
      <c r="N21" s="218" t="s">
        <v>1241</v>
      </c>
    </row>
    <row r="22" spans="1:14" ht="16.2" customHeight="1">
      <c r="A22" s="272"/>
      <c r="B22" s="191" t="s">
        <v>1242</v>
      </c>
      <c r="C22" s="193"/>
      <c r="D22" s="192" t="s">
        <v>1243</v>
      </c>
      <c r="E22" s="222" t="s">
        <v>1240</v>
      </c>
      <c r="F22" s="218" t="s">
        <v>1241</v>
      </c>
      <c r="G22" s="218" t="s">
        <v>1241</v>
      </c>
      <c r="H22" s="218" t="s">
        <v>1241</v>
      </c>
      <c r="I22" s="218"/>
      <c r="J22" s="218"/>
      <c r="K22" s="218"/>
      <c r="L22" s="218"/>
      <c r="M22" s="218" t="s">
        <v>1241</v>
      </c>
      <c r="N22" s="218" t="s">
        <v>1241</v>
      </c>
    </row>
    <row r="23" spans="1:14" ht="16.2" customHeight="1">
      <c r="A23" s="273"/>
      <c r="B23" s="191" t="s">
        <v>1244</v>
      </c>
      <c r="C23" s="193" t="s">
        <v>1245</v>
      </c>
      <c r="D23" s="192"/>
      <c r="E23" s="222" t="s">
        <v>1246</v>
      </c>
      <c r="F23" s="218" t="s">
        <v>1241</v>
      </c>
      <c r="G23" s="218" t="s">
        <v>1241</v>
      </c>
      <c r="H23" s="218" t="s">
        <v>1241</v>
      </c>
      <c r="I23" s="218"/>
      <c r="J23" s="218"/>
      <c r="K23" s="218" t="s">
        <v>1241</v>
      </c>
      <c r="L23" s="218" t="s">
        <v>1241</v>
      </c>
      <c r="M23" s="218" t="s">
        <v>1241</v>
      </c>
      <c r="N23" s="218"/>
    </row>
    <row r="24" spans="1:14" ht="16.2" customHeight="1">
      <c r="A24" s="273"/>
      <c r="B24" s="191" t="s">
        <v>1247</v>
      </c>
      <c r="C24" s="193"/>
      <c r="D24" s="192" t="s">
        <v>1248</v>
      </c>
      <c r="E24" s="222" t="s">
        <v>1246</v>
      </c>
      <c r="F24" s="218" t="s">
        <v>1241</v>
      </c>
      <c r="G24" s="218" t="s">
        <v>1241</v>
      </c>
      <c r="H24" s="218" t="s">
        <v>1241</v>
      </c>
      <c r="I24" s="218"/>
      <c r="J24" s="218"/>
      <c r="K24" s="218" t="s">
        <v>1241</v>
      </c>
      <c r="L24" s="218" t="s">
        <v>1241</v>
      </c>
      <c r="M24" s="218" t="s">
        <v>1241</v>
      </c>
      <c r="N24" s="218"/>
    </row>
    <row r="25" spans="1:14" ht="16.2" customHeight="1">
      <c r="A25" s="273"/>
      <c r="B25" s="220" t="s">
        <v>1249</v>
      </c>
      <c r="C25" s="221" t="s">
        <v>1229</v>
      </c>
      <c r="D25" s="192"/>
      <c r="E25" s="222" t="s">
        <v>1250</v>
      </c>
      <c r="F25" s="218" t="s">
        <v>1251</v>
      </c>
      <c r="G25" s="218" t="s">
        <v>1251</v>
      </c>
      <c r="H25" s="218" t="s">
        <v>1251</v>
      </c>
      <c r="I25" s="218"/>
      <c r="J25" s="218"/>
      <c r="K25" s="218"/>
      <c r="L25" s="218"/>
      <c r="M25" s="218" t="s">
        <v>1251</v>
      </c>
      <c r="N25" s="218" t="s">
        <v>1251</v>
      </c>
    </row>
    <row r="26" spans="1:14" ht="16.2" customHeight="1">
      <c r="A26" s="273"/>
      <c r="B26" s="200" t="s">
        <v>1252</v>
      </c>
      <c r="C26" s="208"/>
      <c r="D26" s="201" t="s">
        <v>1253</v>
      </c>
      <c r="E26" s="222" t="s">
        <v>1250</v>
      </c>
      <c r="F26" s="218" t="s">
        <v>1251</v>
      </c>
      <c r="G26" s="218" t="s">
        <v>1251</v>
      </c>
      <c r="H26" s="218" t="s">
        <v>1251</v>
      </c>
      <c r="I26" s="218"/>
      <c r="J26" s="218"/>
      <c r="K26" s="218"/>
      <c r="L26" s="218"/>
      <c r="M26" s="218" t="s">
        <v>1251</v>
      </c>
      <c r="N26" s="218" t="s">
        <v>1251</v>
      </c>
    </row>
    <row r="27" spans="1:14" ht="16.2" customHeight="1">
      <c r="A27" s="273"/>
      <c r="B27" s="200" t="s">
        <v>1254</v>
      </c>
      <c r="C27" s="208"/>
      <c r="D27" s="201" t="s">
        <v>1253</v>
      </c>
      <c r="E27" s="222" t="s">
        <v>1250</v>
      </c>
      <c r="F27" s="218" t="s">
        <v>1251</v>
      </c>
      <c r="G27" s="218" t="s">
        <v>1251</v>
      </c>
      <c r="H27" s="218" t="s">
        <v>1251</v>
      </c>
      <c r="I27" s="218"/>
      <c r="J27" s="218"/>
      <c r="K27" s="218"/>
      <c r="L27" s="218"/>
      <c r="M27" s="218" t="s">
        <v>1251</v>
      </c>
      <c r="N27" s="218" t="s">
        <v>1251</v>
      </c>
    </row>
    <row r="28" spans="1:14" ht="16.2" customHeight="1">
      <c r="A28" s="273"/>
      <c r="B28" s="191" t="s">
        <v>1255</v>
      </c>
      <c r="C28" s="193" t="s">
        <v>1256</v>
      </c>
      <c r="D28" s="192"/>
      <c r="E28" s="222" t="s">
        <v>1230</v>
      </c>
      <c r="F28" s="218"/>
      <c r="G28" s="218"/>
      <c r="H28" s="218"/>
      <c r="I28" s="218"/>
      <c r="J28" s="218"/>
      <c r="K28" s="218"/>
      <c r="L28" s="218"/>
      <c r="M28" s="218"/>
      <c r="N28" s="218"/>
    </row>
    <row r="29" spans="1:14" ht="18.45" customHeight="1">
      <c r="A29" s="273"/>
      <c r="B29" s="191" t="s">
        <v>1257</v>
      </c>
      <c r="C29" s="193"/>
      <c r="D29" s="202" t="s">
        <v>1253</v>
      </c>
      <c r="E29" s="222" t="s">
        <v>1250</v>
      </c>
      <c r="F29" s="218" t="s">
        <v>1251</v>
      </c>
      <c r="G29" s="218" t="s">
        <v>1251</v>
      </c>
      <c r="H29" s="218" t="s">
        <v>1251</v>
      </c>
      <c r="I29" s="218"/>
      <c r="J29" s="218"/>
      <c r="K29" s="218"/>
      <c r="L29" s="218"/>
      <c r="M29" s="218" t="s">
        <v>1251</v>
      </c>
      <c r="N29" s="218" t="s">
        <v>1251</v>
      </c>
    </row>
    <row r="30" spans="1:14" ht="16.2" customHeight="1">
      <c r="A30" s="273"/>
      <c r="B30" s="223" t="s">
        <v>1258</v>
      </c>
      <c r="C30" s="221" t="s">
        <v>1229</v>
      </c>
      <c r="D30" s="196" t="s">
        <v>1253</v>
      </c>
      <c r="E30" s="222" t="s">
        <v>1230</v>
      </c>
      <c r="F30" s="262" t="s">
        <v>1251</v>
      </c>
      <c r="G30" s="262" t="s">
        <v>1251</v>
      </c>
      <c r="H30" s="262" t="s">
        <v>1251</v>
      </c>
      <c r="I30" s="218"/>
      <c r="J30" s="218"/>
      <c r="K30" s="218"/>
      <c r="L30" s="218"/>
      <c r="M30" s="218"/>
      <c r="N30" s="262" t="s">
        <v>1251</v>
      </c>
    </row>
    <row r="31" spans="1:14" ht="16.2" customHeight="1">
      <c r="A31" s="273"/>
      <c r="B31" s="191" t="s">
        <v>1259</v>
      </c>
      <c r="C31" s="193" t="s">
        <v>1256</v>
      </c>
      <c r="D31" s="328" t="s">
        <v>1248</v>
      </c>
      <c r="E31" s="222" t="s">
        <v>1260</v>
      </c>
      <c r="F31" s="218" t="s">
        <v>1251</v>
      </c>
      <c r="G31" s="218" t="s">
        <v>1251</v>
      </c>
      <c r="H31" s="218" t="s">
        <v>1251</v>
      </c>
      <c r="I31" s="218"/>
      <c r="J31" s="218"/>
      <c r="K31" s="218" t="s">
        <v>1251</v>
      </c>
      <c r="L31" s="218" t="s">
        <v>1251</v>
      </c>
      <c r="M31" s="218" t="s">
        <v>1251</v>
      </c>
      <c r="N31" s="218"/>
    </row>
    <row r="32" spans="1:14" ht="16.2" customHeight="1">
      <c r="A32" s="273"/>
      <c r="B32" s="191" t="s">
        <v>1261</v>
      </c>
      <c r="C32" s="193" t="s">
        <v>1256</v>
      </c>
      <c r="D32" s="328" t="s">
        <v>1248</v>
      </c>
      <c r="E32" s="222" t="s">
        <v>1260</v>
      </c>
      <c r="F32" s="218" t="s">
        <v>1251</v>
      </c>
      <c r="G32" s="218" t="s">
        <v>1251</v>
      </c>
      <c r="H32" s="218" t="s">
        <v>1251</v>
      </c>
      <c r="I32" s="218"/>
      <c r="J32" s="218"/>
      <c r="K32" s="218" t="s">
        <v>1251</v>
      </c>
      <c r="L32" s="218" t="s">
        <v>1251</v>
      </c>
      <c r="M32" s="218" t="s">
        <v>1251</v>
      </c>
      <c r="N32" s="218"/>
    </row>
    <row r="33" spans="1:14" ht="16.2" customHeight="1">
      <c r="A33" s="273"/>
      <c r="B33" s="223" t="s">
        <v>1262</v>
      </c>
      <c r="C33" s="221" t="s">
        <v>1218</v>
      </c>
      <c r="D33" s="201"/>
      <c r="E33" s="222" t="s">
        <v>1219</v>
      </c>
      <c r="F33" s="218"/>
      <c r="G33" s="218"/>
      <c r="H33" s="218"/>
      <c r="I33" s="218"/>
      <c r="J33" s="218"/>
      <c r="K33" s="218"/>
      <c r="L33" s="218"/>
      <c r="M33" s="218"/>
      <c r="N33" s="218"/>
    </row>
    <row r="34" spans="1:14" ht="16.2" customHeight="1">
      <c r="A34" s="273"/>
      <c r="B34" s="223" t="s">
        <v>1263</v>
      </c>
      <c r="C34" s="221" t="s">
        <v>1229</v>
      </c>
      <c r="D34" s="201"/>
      <c r="E34" s="222" t="s">
        <v>1264</v>
      </c>
      <c r="F34" s="218" t="s">
        <v>1251</v>
      </c>
      <c r="G34" s="218" t="s">
        <v>1251</v>
      </c>
      <c r="H34" s="218" t="s">
        <v>1251</v>
      </c>
      <c r="I34" s="218"/>
      <c r="J34" s="218"/>
      <c r="K34" s="218"/>
      <c r="L34" s="218"/>
      <c r="M34" s="218"/>
      <c r="N34" s="218" t="s">
        <v>1251</v>
      </c>
    </row>
    <row r="35" spans="1:14" ht="16.2" customHeight="1">
      <c r="A35" s="273"/>
      <c r="B35" s="224" t="s">
        <v>1265</v>
      </c>
      <c r="C35" s="221" t="s">
        <v>1229</v>
      </c>
      <c r="D35" s="225"/>
      <c r="E35" s="222" t="s">
        <v>1230</v>
      </c>
      <c r="F35" s="218"/>
      <c r="G35" s="218"/>
      <c r="H35" s="218"/>
      <c r="I35" s="218"/>
      <c r="J35" s="218"/>
      <c r="K35" s="218"/>
      <c r="L35" s="218"/>
      <c r="M35" s="218"/>
      <c r="N35" s="218"/>
    </row>
    <row r="36" spans="1:14" ht="16.2" customHeight="1">
      <c r="A36" s="273"/>
      <c r="B36" s="226" t="s">
        <v>1266</v>
      </c>
      <c r="C36" s="221" t="s">
        <v>1229</v>
      </c>
      <c r="D36" s="227"/>
      <c r="E36" s="85" t="s">
        <v>1230</v>
      </c>
      <c r="F36" s="218"/>
      <c r="G36" s="218"/>
      <c r="H36" s="218"/>
      <c r="I36" s="218"/>
      <c r="J36" s="218"/>
      <c r="K36" s="218"/>
      <c r="L36" s="218"/>
      <c r="M36" s="218"/>
      <c r="N36" s="218"/>
    </row>
    <row r="37" spans="1:14" ht="16.2" customHeight="1">
      <c r="A37" s="273"/>
      <c r="B37" s="226" t="s">
        <v>1267</v>
      </c>
      <c r="C37" s="221" t="s">
        <v>1229</v>
      </c>
      <c r="D37" s="227"/>
      <c r="E37" s="85" t="s">
        <v>1230</v>
      </c>
      <c r="F37" s="218"/>
      <c r="G37" s="218"/>
      <c r="H37" s="218"/>
      <c r="I37" s="218"/>
      <c r="J37" s="218"/>
      <c r="K37" s="218"/>
      <c r="L37" s="218"/>
      <c r="M37" s="218"/>
      <c r="N37" s="218"/>
    </row>
    <row r="38" spans="1:14" ht="16.2" customHeight="1">
      <c r="A38" s="273"/>
      <c r="B38" s="220" t="s">
        <v>1268</v>
      </c>
      <c r="C38" s="221" t="s">
        <v>1218</v>
      </c>
      <c r="D38" s="192"/>
      <c r="E38" s="85" t="s">
        <v>1219</v>
      </c>
      <c r="F38" s="218"/>
      <c r="G38" s="218"/>
      <c r="H38" s="218"/>
      <c r="I38" s="218"/>
      <c r="J38" s="218"/>
      <c r="K38" s="218"/>
      <c r="L38" s="218"/>
      <c r="M38" s="218"/>
      <c r="N38" s="218"/>
    </row>
    <row r="39" spans="1:14" ht="16.2" customHeight="1">
      <c r="A39" s="273"/>
      <c r="B39" s="220" t="s">
        <v>1269</v>
      </c>
      <c r="C39" s="221" t="s">
        <v>1218</v>
      </c>
      <c r="D39" s="192"/>
      <c r="E39" s="85" t="s">
        <v>1219</v>
      </c>
      <c r="F39" s="218"/>
      <c r="G39" s="218"/>
      <c r="H39" s="218"/>
      <c r="I39" s="218"/>
      <c r="J39" s="218"/>
      <c r="K39" s="218"/>
      <c r="L39" s="218"/>
      <c r="M39" s="218"/>
      <c r="N39" s="218"/>
    </row>
    <row r="40" spans="1:14" ht="16.2" customHeight="1">
      <c r="A40" s="273"/>
      <c r="B40" s="220" t="s">
        <v>1270</v>
      </c>
      <c r="C40" s="221" t="s">
        <v>1218</v>
      </c>
      <c r="D40" s="192"/>
      <c r="E40" s="85" t="s">
        <v>1271</v>
      </c>
      <c r="F40" s="218" t="s">
        <v>1241</v>
      </c>
      <c r="G40" s="218" t="s">
        <v>1241</v>
      </c>
      <c r="H40" s="218"/>
      <c r="I40" s="218"/>
      <c r="J40" s="218"/>
      <c r="K40" s="218"/>
      <c r="L40" s="218"/>
      <c r="M40" s="218" t="s">
        <v>1241</v>
      </c>
      <c r="N40" s="218"/>
    </row>
    <row r="41" spans="1:14" ht="16.2" customHeight="1">
      <c r="A41" s="273"/>
      <c r="B41" s="220" t="s">
        <v>1272</v>
      </c>
      <c r="C41" s="221" t="s">
        <v>1218</v>
      </c>
      <c r="D41" s="203"/>
      <c r="E41" s="85" t="s">
        <v>1219</v>
      </c>
      <c r="F41" s="218"/>
      <c r="G41" s="218"/>
      <c r="H41" s="218"/>
      <c r="I41" s="218"/>
      <c r="J41" s="218"/>
      <c r="K41" s="218"/>
      <c r="L41" s="218"/>
      <c r="M41" s="218"/>
      <c r="N41" s="218"/>
    </row>
    <row r="42" spans="1:14" ht="16.2" customHeight="1">
      <c r="A42" s="273"/>
      <c r="B42" s="223" t="s">
        <v>1273</v>
      </c>
      <c r="C42" s="221" t="s">
        <v>1218</v>
      </c>
      <c r="D42" s="203"/>
      <c r="E42" s="85" t="s">
        <v>1219</v>
      </c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ht="16.2" customHeight="1">
      <c r="A43" s="273"/>
      <c r="B43" s="220" t="s">
        <v>1274</v>
      </c>
      <c r="C43" s="221" t="s">
        <v>1218</v>
      </c>
      <c r="D43" s="192"/>
      <c r="E43" s="85" t="s">
        <v>1219</v>
      </c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ht="16.2" customHeight="1">
      <c r="A44" s="273"/>
      <c r="B44" s="220" t="s">
        <v>1275</v>
      </c>
      <c r="C44" s="221" t="s">
        <v>1276</v>
      </c>
      <c r="D44" s="192"/>
      <c r="E44" s="85" t="s">
        <v>1277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ht="16.2" customHeight="1">
      <c r="A45" s="273"/>
      <c r="B45" s="220" t="s">
        <v>1278</v>
      </c>
      <c r="C45" s="221" t="s">
        <v>1276</v>
      </c>
      <c r="D45" s="192"/>
      <c r="E45" s="85" t="s">
        <v>1277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ht="16.2" customHeight="1">
      <c r="A46" s="273"/>
      <c r="B46" s="223" t="s">
        <v>1279</v>
      </c>
      <c r="C46" s="221" t="s">
        <v>1218</v>
      </c>
      <c r="D46" s="201" t="s">
        <v>1280</v>
      </c>
      <c r="E46" s="85" t="s">
        <v>1219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7" spans="1:14">
      <c r="A47" s="273"/>
      <c r="B47" s="220" t="s">
        <v>1281</v>
      </c>
      <c r="C47" s="221" t="s">
        <v>1218</v>
      </c>
      <c r="D47" s="192"/>
      <c r="E47" s="85" t="s">
        <v>1219</v>
      </c>
      <c r="F47" s="218"/>
      <c r="G47" s="218"/>
      <c r="H47" s="218"/>
      <c r="I47" s="218"/>
      <c r="J47" s="218"/>
      <c r="K47" s="218"/>
      <c r="L47" s="218"/>
      <c r="M47" s="218"/>
      <c r="N47" s="218"/>
    </row>
    <row r="48" spans="1:14">
      <c r="A48" s="280" t="s">
        <v>1282</v>
      </c>
      <c r="B48" s="220" t="s">
        <v>1283</v>
      </c>
      <c r="C48" s="221" t="s">
        <v>1218</v>
      </c>
      <c r="D48" s="192"/>
      <c r="E48" s="85" t="s">
        <v>1284</v>
      </c>
      <c r="F48" s="218"/>
      <c r="G48" s="218"/>
      <c r="H48" s="218"/>
      <c r="I48" s="218"/>
      <c r="J48" s="218"/>
      <c r="K48" s="218"/>
      <c r="L48" s="218"/>
      <c r="M48" s="218"/>
      <c r="N48" s="218"/>
    </row>
    <row r="49" spans="1:14">
      <c r="A49" s="281"/>
      <c r="B49" s="220" t="s">
        <v>1285</v>
      </c>
      <c r="C49" s="221" t="s">
        <v>1218</v>
      </c>
      <c r="D49" s="192"/>
      <c r="E49" s="85" t="s">
        <v>1284</v>
      </c>
      <c r="F49" s="218"/>
      <c r="G49" s="218"/>
      <c r="H49" s="218"/>
      <c r="I49" s="218"/>
      <c r="J49" s="218"/>
      <c r="K49" s="218"/>
      <c r="L49" s="218"/>
      <c r="M49" s="218"/>
      <c r="N49" s="218"/>
    </row>
    <row r="50" spans="1:14">
      <c r="A50" s="281"/>
      <c r="B50" s="220" t="s">
        <v>1286</v>
      </c>
      <c r="C50" s="221" t="s">
        <v>1218</v>
      </c>
      <c r="D50" s="192"/>
      <c r="E50" s="85" t="s">
        <v>1284</v>
      </c>
      <c r="F50" s="218"/>
      <c r="G50" s="218"/>
      <c r="H50" s="218"/>
      <c r="I50" s="218"/>
      <c r="J50" s="218"/>
      <c r="K50" s="218"/>
      <c r="L50" s="218"/>
      <c r="M50" s="218"/>
      <c r="N50" s="218"/>
    </row>
    <row r="51" spans="1:14">
      <c r="A51" s="281"/>
      <c r="B51" s="220" t="s">
        <v>1287</v>
      </c>
      <c r="C51" s="221" t="s">
        <v>1218</v>
      </c>
      <c r="D51" s="192"/>
      <c r="E51" s="85" t="s">
        <v>1284</v>
      </c>
      <c r="F51" s="218"/>
      <c r="G51" s="218"/>
      <c r="H51" s="218"/>
      <c r="I51" s="218"/>
      <c r="J51" s="218"/>
      <c r="K51" s="218"/>
      <c r="L51" s="218"/>
      <c r="M51" s="218"/>
      <c r="N51" s="218"/>
    </row>
    <row r="52" spans="1:14">
      <c r="A52" s="281"/>
      <c r="B52" s="220" t="s">
        <v>1288</v>
      </c>
      <c r="C52" s="221" t="s">
        <v>1218</v>
      </c>
      <c r="D52" s="192"/>
      <c r="E52" s="85" t="s">
        <v>1284</v>
      </c>
      <c r="F52" s="218"/>
      <c r="G52" s="218"/>
      <c r="H52" s="218"/>
      <c r="I52" s="218"/>
      <c r="J52" s="218"/>
      <c r="K52" s="218"/>
      <c r="L52" s="218"/>
      <c r="M52" s="218"/>
      <c r="N52" s="218"/>
    </row>
    <row r="53" spans="1:14">
      <c r="A53" s="281"/>
      <c r="B53" s="220" t="s">
        <v>79</v>
      </c>
      <c r="C53" s="221" t="s">
        <v>1217</v>
      </c>
      <c r="D53" s="192"/>
      <c r="E53" s="85" t="s">
        <v>1289</v>
      </c>
      <c r="F53" s="218"/>
      <c r="G53" s="218"/>
      <c r="H53" s="218"/>
      <c r="I53" s="218"/>
      <c r="J53" s="218"/>
      <c r="K53" s="218"/>
      <c r="L53" s="218"/>
      <c r="M53" s="218"/>
      <c r="N53" s="218"/>
    </row>
    <row r="54" spans="1:14">
      <c r="A54" s="281"/>
      <c r="B54" s="220" t="s">
        <v>1290</v>
      </c>
      <c r="C54" s="221" t="s">
        <v>1218</v>
      </c>
      <c r="D54" s="192"/>
      <c r="E54" s="85" t="s">
        <v>1284</v>
      </c>
      <c r="F54" s="218"/>
      <c r="G54" s="218"/>
      <c r="H54" s="218"/>
      <c r="I54" s="218"/>
      <c r="J54" s="218"/>
      <c r="K54" s="218"/>
      <c r="L54" s="218"/>
      <c r="M54" s="218"/>
      <c r="N54" s="218"/>
    </row>
    <row r="55" spans="1:14">
      <c r="A55" s="281"/>
      <c r="B55" s="220" t="s">
        <v>1291</v>
      </c>
      <c r="C55" s="221" t="s">
        <v>1218</v>
      </c>
      <c r="D55" s="192"/>
      <c r="E55" s="85" t="s">
        <v>1284</v>
      </c>
      <c r="F55" s="218"/>
      <c r="G55" s="218"/>
      <c r="H55" s="218"/>
      <c r="I55" s="218"/>
      <c r="J55" s="218"/>
      <c r="K55" s="218"/>
      <c r="L55" s="218"/>
      <c r="M55" s="218"/>
      <c r="N55" s="218"/>
    </row>
    <row r="56" spans="1:14">
      <c r="A56" s="281"/>
      <c r="B56" s="220" t="s">
        <v>1292</v>
      </c>
      <c r="C56" s="221" t="s">
        <v>1218</v>
      </c>
      <c r="D56" s="192"/>
      <c r="E56" s="85" t="s">
        <v>1284</v>
      </c>
      <c r="F56" s="218"/>
      <c r="G56" s="218"/>
      <c r="H56" s="218"/>
      <c r="I56" s="218"/>
      <c r="J56" s="218"/>
      <c r="K56" s="218"/>
      <c r="L56" s="218"/>
      <c r="M56" s="218"/>
      <c r="N56" s="218"/>
    </row>
    <row r="57" spans="1:14">
      <c r="A57" s="281"/>
      <c r="B57" s="220" t="s">
        <v>1293</v>
      </c>
      <c r="C57" s="221" t="s">
        <v>1218</v>
      </c>
      <c r="D57" s="192"/>
      <c r="E57" s="85" t="s">
        <v>1284</v>
      </c>
      <c r="F57" s="218"/>
      <c r="G57" s="218"/>
      <c r="H57" s="218"/>
      <c r="I57" s="218"/>
      <c r="J57" s="218"/>
      <c r="K57" s="218"/>
      <c r="L57" s="218"/>
      <c r="M57" s="218"/>
      <c r="N57" s="218"/>
    </row>
    <row r="58" spans="1:14">
      <c r="A58" s="281"/>
      <c r="B58" s="220" t="s">
        <v>1233</v>
      </c>
      <c r="C58" s="221" t="s">
        <v>1218</v>
      </c>
      <c r="D58" s="192"/>
      <c r="E58" s="85" t="s">
        <v>1284</v>
      </c>
      <c r="F58" s="218"/>
      <c r="G58" s="218"/>
      <c r="H58" s="218"/>
      <c r="I58" s="218"/>
      <c r="J58" s="218"/>
      <c r="K58" s="218"/>
      <c r="L58" s="218"/>
      <c r="M58" s="218"/>
      <c r="N58" s="218"/>
    </row>
    <row r="59" spans="1:14">
      <c r="A59" s="281"/>
      <c r="B59" s="220" t="s">
        <v>1294</v>
      </c>
      <c r="C59" s="221" t="s">
        <v>1218</v>
      </c>
      <c r="D59" s="192"/>
      <c r="E59" s="85" t="s">
        <v>1284</v>
      </c>
      <c r="F59" s="218"/>
      <c r="G59" s="218"/>
      <c r="H59" s="218"/>
      <c r="I59" s="218"/>
      <c r="J59" s="218"/>
      <c r="K59" s="218"/>
      <c r="L59" s="218"/>
      <c r="M59" s="218"/>
      <c r="N59" s="218"/>
    </row>
    <row r="60" spans="1:14" ht="16.2" customHeight="1">
      <c r="A60" s="281"/>
      <c r="B60" s="220" t="s">
        <v>1295</v>
      </c>
      <c r="C60" s="221" t="s">
        <v>1218</v>
      </c>
      <c r="D60" s="192"/>
      <c r="E60" s="85" t="s">
        <v>1284</v>
      </c>
      <c r="F60" s="218"/>
      <c r="G60" s="218"/>
      <c r="H60" s="218"/>
      <c r="I60" s="218"/>
      <c r="J60" s="218"/>
      <c r="K60" s="218"/>
      <c r="L60" s="218"/>
      <c r="M60" s="218"/>
      <c r="N60" s="218"/>
    </row>
    <row r="61" spans="1:14" ht="16.2" customHeight="1">
      <c r="A61" s="281"/>
      <c r="B61" s="220" t="s">
        <v>1374</v>
      </c>
      <c r="C61" s="221" t="s">
        <v>1218</v>
      </c>
      <c r="D61" s="192"/>
      <c r="E61" s="85" t="s">
        <v>1284</v>
      </c>
      <c r="F61" s="218"/>
      <c r="G61" s="218"/>
      <c r="H61" s="218"/>
      <c r="I61" s="218"/>
      <c r="J61" s="218"/>
      <c r="K61" s="218"/>
      <c r="L61" s="218"/>
      <c r="M61" s="218"/>
      <c r="N61" s="218"/>
    </row>
    <row r="62" spans="1:14" ht="16.2" customHeight="1">
      <c r="A62" s="281"/>
      <c r="B62" s="220" t="s">
        <v>1296</v>
      </c>
      <c r="C62" s="221" t="s">
        <v>1218</v>
      </c>
      <c r="D62" s="192"/>
      <c r="E62" s="85" t="s">
        <v>1284</v>
      </c>
      <c r="F62" s="218"/>
      <c r="G62" s="218"/>
      <c r="H62" s="218"/>
      <c r="I62" s="218"/>
      <c r="J62" s="218"/>
      <c r="K62" s="218"/>
      <c r="L62" s="218"/>
      <c r="M62" s="218"/>
      <c r="N62" s="218"/>
    </row>
    <row r="63" spans="1:14" ht="16.2" customHeight="1">
      <c r="A63" s="272" t="s">
        <v>1297</v>
      </c>
      <c r="B63" s="220" t="s">
        <v>1298</v>
      </c>
      <c r="C63" s="221" t="s">
        <v>1218</v>
      </c>
      <c r="D63" s="192"/>
      <c r="E63" s="85" t="s">
        <v>1219</v>
      </c>
      <c r="F63" s="218"/>
      <c r="G63" s="218"/>
      <c r="H63" s="218"/>
      <c r="I63" s="218"/>
      <c r="J63" s="218"/>
      <c r="K63" s="218"/>
      <c r="L63" s="218"/>
      <c r="M63" s="218"/>
      <c r="N63" s="218"/>
    </row>
    <row r="64" spans="1:14" ht="16.95" customHeight="1">
      <c r="A64" s="273"/>
      <c r="B64" s="220" t="s">
        <v>1299</v>
      </c>
      <c r="C64" s="221" t="s">
        <v>1218</v>
      </c>
      <c r="D64" s="192"/>
      <c r="E64" s="85" t="s">
        <v>1219</v>
      </c>
      <c r="F64" s="218"/>
      <c r="G64" s="218"/>
      <c r="H64" s="218"/>
      <c r="I64" s="218"/>
      <c r="J64" s="218"/>
      <c r="K64" s="218"/>
      <c r="L64" s="218"/>
      <c r="M64" s="218"/>
      <c r="N64" s="218"/>
    </row>
    <row r="65" spans="1:14" ht="16.2" customHeight="1">
      <c r="A65" s="273"/>
      <c r="B65" s="220" t="s">
        <v>1300</v>
      </c>
      <c r="C65" s="221" t="s">
        <v>1218</v>
      </c>
      <c r="D65" s="192"/>
      <c r="E65" s="85" t="s">
        <v>1219</v>
      </c>
      <c r="F65" s="218"/>
      <c r="G65" s="218"/>
      <c r="H65" s="218"/>
      <c r="I65" s="218"/>
      <c r="J65" s="218"/>
      <c r="K65" s="218"/>
      <c r="L65" s="218"/>
      <c r="M65" s="218"/>
      <c r="N65" s="218"/>
    </row>
    <row r="66" spans="1:14" ht="16.2" customHeight="1">
      <c r="A66" s="273"/>
      <c r="B66" s="220" t="s">
        <v>1301</v>
      </c>
      <c r="C66" s="221" t="s">
        <v>1218</v>
      </c>
      <c r="D66" s="204"/>
      <c r="E66" s="85" t="s">
        <v>1219</v>
      </c>
      <c r="F66" s="218"/>
      <c r="G66" s="218"/>
      <c r="H66" s="218"/>
      <c r="I66" s="218"/>
      <c r="J66" s="218"/>
      <c r="K66" s="218"/>
      <c r="L66" s="218"/>
      <c r="M66" s="218"/>
      <c r="N66" s="218"/>
    </row>
    <row r="67" spans="1:14" ht="16.2" customHeight="1">
      <c r="A67" s="273"/>
      <c r="B67" s="220" t="s">
        <v>1302</v>
      </c>
      <c r="C67" s="221" t="s">
        <v>1218</v>
      </c>
      <c r="D67" s="204"/>
      <c r="E67" s="85" t="s">
        <v>1219</v>
      </c>
      <c r="F67" s="218"/>
      <c r="G67" s="218"/>
      <c r="H67" s="218"/>
      <c r="I67" s="218"/>
      <c r="J67" s="218"/>
      <c r="K67" s="218"/>
      <c r="L67" s="218"/>
      <c r="M67" s="218"/>
      <c r="N67" s="218"/>
    </row>
    <row r="68" spans="1:14" ht="16.2" customHeight="1">
      <c r="A68" s="273"/>
      <c r="B68" s="220" t="s">
        <v>1303</v>
      </c>
      <c r="C68" s="221" t="s">
        <v>1218</v>
      </c>
      <c r="D68" s="192"/>
      <c r="E68" s="85" t="s">
        <v>1219</v>
      </c>
      <c r="F68" s="218"/>
      <c r="G68" s="218"/>
      <c r="H68" s="218"/>
      <c r="I68" s="218"/>
      <c r="J68" s="218"/>
      <c r="K68" s="218"/>
      <c r="L68" s="218"/>
      <c r="M68" s="218"/>
      <c r="N68" s="218"/>
    </row>
    <row r="69" spans="1:14" ht="16.2" customHeight="1">
      <c r="A69" s="274" t="s">
        <v>1304</v>
      </c>
      <c r="B69" s="220" t="s">
        <v>1305</v>
      </c>
      <c r="C69" s="221" t="s">
        <v>1218</v>
      </c>
      <c r="D69" s="192" t="s">
        <v>1306</v>
      </c>
      <c r="E69" s="85" t="s">
        <v>1307</v>
      </c>
      <c r="F69" s="218" t="s">
        <v>1241</v>
      </c>
      <c r="G69" s="218" t="s">
        <v>1241</v>
      </c>
      <c r="H69" s="218" t="s">
        <v>1241</v>
      </c>
      <c r="I69" s="218"/>
      <c r="J69" s="218"/>
      <c r="K69" s="218"/>
      <c r="L69" s="218"/>
      <c r="M69" s="218"/>
      <c r="N69" s="218"/>
    </row>
    <row r="70" spans="1:14" ht="16.95" customHeight="1">
      <c r="A70" s="275"/>
      <c r="B70" s="220" t="s">
        <v>1273</v>
      </c>
      <c r="C70" s="221" t="s">
        <v>1218</v>
      </c>
      <c r="D70" s="192"/>
      <c r="E70" s="85" t="s">
        <v>1219</v>
      </c>
      <c r="F70" s="218"/>
      <c r="G70" s="218"/>
      <c r="H70" s="218"/>
      <c r="I70" s="218"/>
      <c r="J70" s="218"/>
      <c r="K70" s="218"/>
      <c r="L70" s="218"/>
      <c r="M70" s="218"/>
      <c r="N70" s="218"/>
    </row>
    <row r="71" spans="1:14">
      <c r="A71" s="275"/>
      <c r="B71" s="220" t="s">
        <v>1308</v>
      </c>
      <c r="C71" s="221" t="s">
        <v>1218</v>
      </c>
      <c r="D71" s="205" t="s">
        <v>1309</v>
      </c>
      <c r="E71" s="85" t="s">
        <v>1271</v>
      </c>
      <c r="F71" s="218" t="s">
        <v>1241</v>
      </c>
      <c r="G71" s="218" t="s">
        <v>1241</v>
      </c>
      <c r="H71" s="218"/>
      <c r="I71" s="206"/>
      <c r="J71" s="218"/>
      <c r="K71" s="218"/>
      <c r="L71" s="218"/>
      <c r="M71" s="218" t="s">
        <v>1241</v>
      </c>
      <c r="N71" s="218"/>
    </row>
    <row r="72" spans="1:14" ht="16.2" customHeight="1">
      <c r="A72" s="275"/>
      <c r="B72" s="220" t="s">
        <v>1310</v>
      </c>
      <c r="C72" s="221" t="s">
        <v>1218</v>
      </c>
      <c r="D72" s="207" t="s">
        <v>1311</v>
      </c>
      <c r="E72" s="85" t="s">
        <v>1271</v>
      </c>
      <c r="F72" s="218" t="s">
        <v>1241</v>
      </c>
      <c r="G72" s="218" t="s">
        <v>1241</v>
      </c>
      <c r="H72" s="218"/>
      <c r="I72" s="206"/>
      <c r="J72" s="218"/>
      <c r="K72" s="218"/>
      <c r="L72" s="218"/>
      <c r="M72" s="218" t="s">
        <v>1241</v>
      </c>
      <c r="N72" s="218"/>
    </row>
    <row r="73" spans="1:14" ht="16.2" customHeight="1">
      <c r="A73" s="275"/>
      <c r="B73" s="220" t="s">
        <v>1312</v>
      </c>
      <c r="C73" s="221" t="s">
        <v>1229</v>
      </c>
      <c r="D73" s="192"/>
      <c r="E73" s="85" t="s">
        <v>1313</v>
      </c>
      <c r="F73" s="218" t="s">
        <v>1251</v>
      </c>
      <c r="G73" s="218" t="s">
        <v>1251</v>
      </c>
      <c r="H73" s="218" t="s">
        <v>1251</v>
      </c>
      <c r="I73" s="218"/>
      <c r="J73" s="218"/>
      <c r="K73" s="218"/>
      <c r="L73" s="218"/>
      <c r="M73" s="218"/>
      <c r="N73" s="218"/>
    </row>
    <row r="74" spans="1:14" ht="16.2" customHeight="1">
      <c r="A74" s="275"/>
      <c r="B74" s="191" t="s">
        <v>1314</v>
      </c>
      <c r="C74" s="193"/>
      <c r="D74" s="207" t="s">
        <v>1315</v>
      </c>
      <c r="E74" s="85" t="s">
        <v>1316</v>
      </c>
      <c r="F74" s="218" t="s">
        <v>1251</v>
      </c>
      <c r="G74" s="218" t="s">
        <v>1251</v>
      </c>
      <c r="H74" s="218"/>
      <c r="I74" s="206"/>
      <c r="J74" s="218"/>
      <c r="K74" s="218"/>
      <c r="L74" s="218"/>
      <c r="M74" s="218" t="s">
        <v>1251</v>
      </c>
      <c r="N74" s="218"/>
    </row>
    <row r="75" spans="1:14" ht="16.2" customHeight="1">
      <c r="A75" s="275"/>
      <c r="B75" s="220" t="s">
        <v>1317</v>
      </c>
      <c r="C75" s="221" t="s">
        <v>1218</v>
      </c>
      <c r="D75" s="207"/>
      <c r="E75" s="85" t="s">
        <v>1219</v>
      </c>
      <c r="F75" s="218"/>
      <c r="G75" s="218"/>
      <c r="H75" s="218"/>
      <c r="I75" s="218"/>
      <c r="J75" s="218"/>
      <c r="K75" s="218"/>
      <c r="L75" s="218"/>
      <c r="M75" s="218"/>
      <c r="N75" s="218"/>
    </row>
    <row r="76" spans="1:14" ht="16.2" customHeight="1">
      <c r="A76" s="217" t="s">
        <v>1318</v>
      </c>
      <c r="B76" s="220" t="s">
        <v>1318</v>
      </c>
      <c r="C76" s="221" t="s">
        <v>1218</v>
      </c>
      <c r="D76" s="197"/>
      <c r="E76" s="85" t="s">
        <v>1219</v>
      </c>
      <c r="F76" s="218"/>
      <c r="G76" s="218"/>
      <c r="H76" s="218"/>
      <c r="I76" s="218"/>
      <c r="J76" s="218"/>
      <c r="K76" s="218"/>
      <c r="L76" s="218"/>
      <c r="M76" s="218"/>
      <c r="N76" s="218"/>
    </row>
    <row r="77" spans="1:14" ht="16.2" customHeight="1">
      <c r="A77" s="272" t="s">
        <v>1319</v>
      </c>
      <c r="B77" s="220" t="s">
        <v>1320</v>
      </c>
      <c r="C77" s="221" t="s">
        <v>1218</v>
      </c>
      <c r="D77" s="209"/>
      <c r="E77" s="85" t="s">
        <v>1219</v>
      </c>
      <c r="F77" s="218"/>
      <c r="G77" s="218"/>
      <c r="H77" s="218"/>
      <c r="I77" s="218"/>
      <c r="J77" s="218"/>
      <c r="K77" s="218"/>
      <c r="L77" s="218"/>
      <c r="M77" s="218"/>
      <c r="N77" s="218"/>
    </row>
    <row r="78" spans="1:14" ht="16.2" customHeight="1">
      <c r="A78" s="273"/>
      <c r="B78" s="220" t="s">
        <v>1321</v>
      </c>
      <c r="C78" s="221" t="s">
        <v>1218</v>
      </c>
      <c r="D78" s="210"/>
      <c r="E78" s="85" t="s">
        <v>1219</v>
      </c>
      <c r="F78" s="218"/>
      <c r="G78" s="218"/>
      <c r="H78" s="218"/>
      <c r="I78" s="218"/>
      <c r="J78" s="218"/>
      <c r="K78" s="218"/>
      <c r="L78" s="218"/>
      <c r="M78" s="218"/>
      <c r="N78" s="218"/>
    </row>
    <row r="79" spans="1:14" ht="16.2" customHeight="1">
      <c r="A79" s="273"/>
      <c r="B79" s="220" t="s">
        <v>1322</v>
      </c>
      <c r="C79" s="221" t="s">
        <v>1218</v>
      </c>
      <c r="D79" s="210"/>
      <c r="E79" s="85" t="s">
        <v>1219</v>
      </c>
      <c r="F79" s="218"/>
      <c r="G79" s="218"/>
      <c r="H79" s="218"/>
      <c r="I79" s="218"/>
      <c r="J79" s="218"/>
      <c r="K79" s="218"/>
      <c r="L79" s="218"/>
      <c r="M79" s="218"/>
      <c r="N79" s="218"/>
    </row>
    <row r="80" spans="1:14" ht="16.2" customHeight="1">
      <c r="A80" s="273"/>
      <c r="B80" s="220" t="s">
        <v>1323</v>
      </c>
      <c r="C80" s="221" t="s">
        <v>1218</v>
      </c>
      <c r="D80" s="210"/>
      <c r="E80" s="85" t="s">
        <v>1219</v>
      </c>
      <c r="F80" s="218"/>
      <c r="G80" s="218"/>
      <c r="H80" s="218"/>
      <c r="I80" s="218"/>
      <c r="J80" s="218"/>
      <c r="K80" s="218"/>
      <c r="L80" s="218"/>
      <c r="M80" s="218"/>
      <c r="N80" s="218"/>
    </row>
    <row r="81" spans="1:14" ht="16.2" customHeight="1">
      <c r="A81" s="274" t="s">
        <v>1364</v>
      </c>
      <c r="B81" s="191" t="s">
        <v>1324</v>
      </c>
      <c r="C81" s="237" t="s">
        <v>1325</v>
      </c>
      <c r="D81" s="192"/>
      <c r="E81" s="85" t="s">
        <v>1326</v>
      </c>
      <c r="F81" s="262" t="s">
        <v>1241</v>
      </c>
      <c r="G81" s="218"/>
      <c r="H81" s="218"/>
      <c r="I81" s="262" t="s">
        <v>1241</v>
      </c>
      <c r="J81" s="262" t="s">
        <v>1241</v>
      </c>
      <c r="K81" s="218"/>
      <c r="L81" s="218"/>
      <c r="M81" s="218"/>
      <c r="N81" s="218"/>
    </row>
    <row r="82" spans="1:14" ht="16.2" customHeight="1">
      <c r="A82" s="275"/>
      <c r="B82" s="220" t="s">
        <v>1327</v>
      </c>
      <c r="C82" s="221" t="s">
        <v>1218</v>
      </c>
      <c r="D82" s="192"/>
      <c r="E82" s="85" t="s">
        <v>1271</v>
      </c>
      <c r="F82" s="218" t="s">
        <v>1241</v>
      </c>
      <c r="G82" s="218" t="s">
        <v>1241</v>
      </c>
      <c r="H82" s="218"/>
      <c r="I82" s="218"/>
      <c r="J82" s="218"/>
      <c r="K82" s="218"/>
      <c r="L82" s="218"/>
      <c r="M82" s="218" t="s">
        <v>1241</v>
      </c>
      <c r="N82" s="218"/>
    </row>
    <row r="83" spans="1:14" ht="16.2" customHeight="1">
      <c r="A83" s="275"/>
      <c r="B83" s="191" t="s">
        <v>1328</v>
      </c>
      <c r="C83" s="237" t="s">
        <v>1325</v>
      </c>
      <c r="D83" s="201" t="s">
        <v>1329</v>
      </c>
      <c r="E83" s="85" t="s">
        <v>1326</v>
      </c>
      <c r="F83" s="262" t="s">
        <v>1241</v>
      </c>
      <c r="G83" s="218"/>
      <c r="H83" s="218"/>
      <c r="I83" s="262" t="s">
        <v>1241</v>
      </c>
      <c r="J83" s="262" t="s">
        <v>1241</v>
      </c>
      <c r="K83" s="218"/>
      <c r="L83" s="218"/>
      <c r="M83" s="218"/>
      <c r="N83" s="218"/>
    </row>
    <row r="84" spans="1:14" ht="16.2" customHeight="1">
      <c r="A84" s="275"/>
      <c r="B84" s="191" t="s">
        <v>1330</v>
      </c>
      <c r="C84" s="237" t="s">
        <v>1325</v>
      </c>
      <c r="D84" s="201" t="s">
        <v>1329</v>
      </c>
      <c r="E84" s="85" t="s">
        <v>1326</v>
      </c>
      <c r="F84" s="262" t="s">
        <v>1241</v>
      </c>
      <c r="G84" s="218"/>
      <c r="H84" s="218"/>
      <c r="I84" s="262" t="s">
        <v>1241</v>
      </c>
      <c r="J84" s="262" t="s">
        <v>1241</v>
      </c>
      <c r="K84" s="218"/>
      <c r="L84" s="218"/>
      <c r="M84" s="218"/>
      <c r="N84" s="218"/>
    </row>
    <row r="85" spans="1:14" ht="16.2" customHeight="1">
      <c r="A85" s="275"/>
      <c r="B85" s="220" t="s">
        <v>1331</v>
      </c>
      <c r="C85" s="221" t="s">
        <v>1218</v>
      </c>
      <c r="D85" s="201"/>
      <c r="E85" s="85" t="s">
        <v>1219</v>
      </c>
      <c r="F85" s="218"/>
      <c r="G85" s="218"/>
      <c r="H85" s="218"/>
      <c r="I85" s="218"/>
      <c r="J85" s="218"/>
      <c r="K85" s="218"/>
      <c r="L85" s="218"/>
      <c r="M85" s="218"/>
      <c r="N85" s="218"/>
    </row>
    <row r="86" spans="1:14" ht="16.2" customHeight="1">
      <c r="A86" s="275"/>
      <c r="B86" s="191" t="s">
        <v>1332</v>
      </c>
      <c r="C86" s="193" t="s">
        <v>1245</v>
      </c>
      <c r="D86" s="192"/>
      <c r="E86" s="85" t="s">
        <v>1333</v>
      </c>
      <c r="F86" s="218" t="s">
        <v>1241</v>
      </c>
      <c r="G86" s="218" t="s">
        <v>1241</v>
      </c>
      <c r="H86" s="218" t="s">
        <v>1241</v>
      </c>
      <c r="I86" s="218"/>
      <c r="J86" s="218"/>
      <c r="K86" s="218"/>
      <c r="L86" s="218"/>
      <c r="M86" s="218"/>
      <c r="N86" s="218"/>
    </row>
    <row r="87" spans="1:14" ht="16.2" customHeight="1">
      <c r="A87" s="275"/>
      <c r="B87" s="220" t="s">
        <v>1334</v>
      </c>
      <c r="C87" s="238" t="s">
        <v>1335</v>
      </c>
      <c r="D87" s="192"/>
      <c r="E87" s="239" t="s">
        <v>1271</v>
      </c>
      <c r="F87" s="206" t="s">
        <v>1241</v>
      </c>
      <c r="G87" s="206" t="s">
        <v>1241</v>
      </c>
      <c r="H87" s="206"/>
      <c r="I87" s="206"/>
      <c r="J87" s="206"/>
      <c r="K87" s="206"/>
      <c r="L87" s="206"/>
      <c r="M87" s="206" t="s">
        <v>1241</v>
      </c>
      <c r="N87" s="218"/>
    </row>
    <row r="88" spans="1:14" ht="16.2" customHeight="1">
      <c r="A88" s="275"/>
      <c r="B88" s="220" t="s">
        <v>1336</v>
      </c>
      <c r="C88" s="221" t="s">
        <v>1218</v>
      </c>
      <c r="D88" s="192"/>
      <c r="E88" s="85" t="s">
        <v>1219</v>
      </c>
      <c r="F88" s="218"/>
      <c r="G88" s="218"/>
      <c r="H88" s="218"/>
      <c r="I88" s="218"/>
      <c r="J88" s="218"/>
      <c r="K88" s="218"/>
      <c r="L88" s="218"/>
      <c r="M88" s="218"/>
      <c r="N88" s="218"/>
    </row>
    <row r="89" spans="1:14" ht="16.2" customHeight="1">
      <c r="A89" s="275"/>
      <c r="B89" s="220" t="s">
        <v>1337</v>
      </c>
      <c r="C89" s="221" t="s">
        <v>1218</v>
      </c>
      <c r="D89" s="192"/>
      <c r="E89" s="85" t="s">
        <v>1219</v>
      </c>
      <c r="F89" s="218"/>
      <c r="G89" s="218"/>
      <c r="H89" s="218"/>
      <c r="I89" s="218"/>
      <c r="J89" s="218"/>
      <c r="K89" s="218"/>
      <c r="L89" s="218"/>
      <c r="M89" s="218"/>
      <c r="N89" s="218"/>
    </row>
    <row r="90" spans="1:14" ht="16.2" customHeight="1">
      <c r="A90" s="275"/>
      <c r="B90" s="220" t="s">
        <v>1338</v>
      </c>
      <c r="C90" s="221" t="s">
        <v>1218</v>
      </c>
      <c r="D90" s="192"/>
      <c r="E90" s="222" t="s">
        <v>1284</v>
      </c>
      <c r="F90" s="218"/>
      <c r="G90" s="218"/>
      <c r="H90" s="218"/>
      <c r="I90" s="218"/>
      <c r="J90" s="218"/>
      <c r="K90" s="218"/>
      <c r="L90" s="218"/>
      <c r="M90" s="218"/>
      <c r="N90" s="218"/>
    </row>
    <row r="91" spans="1:14" ht="16.2" customHeight="1">
      <c r="A91" s="275"/>
      <c r="B91" s="191" t="s">
        <v>1339</v>
      </c>
      <c r="C91" s="240"/>
      <c r="D91" s="241" t="s">
        <v>1368</v>
      </c>
      <c r="E91" s="86" t="s">
        <v>1271</v>
      </c>
      <c r="F91" s="262" t="s">
        <v>1241</v>
      </c>
      <c r="G91" s="262" t="s">
        <v>1241</v>
      </c>
      <c r="H91" s="245"/>
      <c r="I91" s="245"/>
      <c r="J91" s="245"/>
      <c r="K91" s="245"/>
      <c r="L91" s="245"/>
      <c r="M91" s="262" t="s">
        <v>1241</v>
      </c>
      <c r="N91" s="218"/>
    </row>
    <row r="92" spans="1:14" ht="16.95" customHeight="1">
      <c r="A92" s="275"/>
      <c r="B92" s="220" t="s">
        <v>1340</v>
      </c>
      <c r="C92" s="221" t="s">
        <v>1218</v>
      </c>
      <c r="D92" s="192"/>
      <c r="E92" s="85" t="s">
        <v>1219</v>
      </c>
      <c r="F92" s="218"/>
      <c r="G92" s="218"/>
      <c r="H92" s="218"/>
      <c r="I92" s="218"/>
      <c r="J92" s="218"/>
      <c r="K92" s="218"/>
      <c r="L92" s="218"/>
      <c r="M92" s="218"/>
      <c r="N92" s="218"/>
    </row>
    <row r="93" spans="1:14" ht="16.2" customHeight="1">
      <c r="A93" s="275"/>
      <c r="B93" s="220" t="s">
        <v>1341</v>
      </c>
      <c r="C93" s="221" t="s">
        <v>1218</v>
      </c>
      <c r="D93" s="192"/>
      <c r="E93" s="85" t="s">
        <v>1219</v>
      </c>
      <c r="F93" s="218"/>
      <c r="G93" s="218"/>
      <c r="H93" s="218"/>
      <c r="I93" s="218"/>
      <c r="J93" s="218"/>
      <c r="K93" s="218"/>
      <c r="L93" s="218"/>
      <c r="M93" s="218"/>
      <c r="N93" s="218"/>
    </row>
    <row r="94" spans="1:14" ht="16.2" customHeight="1">
      <c r="A94" s="275"/>
      <c r="B94" s="220" t="s">
        <v>1342</v>
      </c>
      <c r="C94" s="221" t="s">
        <v>1343</v>
      </c>
      <c r="D94" s="192"/>
      <c r="E94" s="85" t="s">
        <v>1344</v>
      </c>
      <c r="F94" s="218"/>
      <c r="G94" s="218"/>
      <c r="H94" s="218"/>
      <c r="I94" s="218"/>
      <c r="J94" s="218"/>
      <c r="K94" s="218"/>
      <c r="L94" s="218"/>
      <c r="M94" s="218"/>
      <c r="N94" s="218"/>
    </row>
    <row r="95" spans="1:14" ht="16.2" customHeight="1">
      <c r="A95" s="275"/>
      <c r="B95" s="191" t="s">
        <v>1345</v>
      </c>
      <c r="C95" s="193"/>
      <c r="D95" s="276" t="s">
        <v>1367</v>
      </c>
      <c r="E95" s="85" t="s">
        <v>1346</v>
      </c>
      <c r="F95" s="218" t="s">
        <v>1347</v>
      </c>
      <c r="G95" s="218" t="s">
        <v>1347</v>
      </c>
      <c r="H95" s="218"/>
      <c r="I95" s="206"/>
      <c r="J95" s="218"/>
      <c r="K95" s="218"/>
      <c r="L95" s="218"/>
      <c r="M95" s="218" t="s">
        <v>1347</v>
      </c>
      <c r="N95" s="218"/>
    </row>
    <row r="96" spans="1:14" ht="16.2" customHeight="1">
      <c r="A96" s="275"/>
      <c r="B96" s="191" t="s">
        <v>1348</v>
      </c>
      <c r="C96" s="193"/>
      <c r="D96" s="277"/>
      <c r="E96" s="85" t="s">
        <v>1346</v>
      </c>
      <c r="F96" s="218" t="s">
        <v>1347</v>
      </c>
      <c r="G96" s="218" t="s">
        <v>1347</v>
      </c>
      <c r="H96" s="218"/>
      <c r="I96" s="206"/>
      <c r="J96" s="218"/>
      <c r="K96" s="218"/>
      <c r="L96" s="218"/>
      <c r="M96" s="218" t="s">
        <v>1347</v>
      </c>
      <c r="N96" s="218"/>
    </row>
    <row r="97" spans="1:14" ht="16.2" customHeight="1">
      <c r="A97" s="275"/>
      <c r="B97" s="191" t="s">
        <v>1349</v>
      </c>
      <c r="C97" s="193"/>
      <c r="D97" s="277"/>
      <c r="E97" s="85" t="s">
        <v>1271</v>
      </c>
      <c r="F97" s="218" t="s">
        <v>1241</v>
      </c>
      <c r="G97" s="218" t="s">
        <v>1241</v>
      </c>
      <c r="H97" s="218"/>
      <c r="I97" s="206"/>
      <c r="J97" s="218"/>
      <c r="K97" s="218"/>
      <c r="L97" s="218"/>
      <c r="M97" s="218" t="s">
        <v>1241</v>
      </c>
      <c r="N97" s="218"/>
    </row>
    <row r="98" spans="1:14" ht="16.2" customHeight="1">
      <c r="A98" s="275"/>
      <c r="B98" s="191" t="s">
        <v>1350</v>
      </c>
      <c r="C98" s="193"/>
      <c r="D98" s="277"/>
      <c r="E98" s="85" t="s">
        <v>1271</v>
      </c>
      <c r="F98" s="218" t="s">
        <v>1241</v>
      </c>
      <c r="G98" s="218" t="s">
        <v>1241</v>
      </c>
      <c r="H98" s="218"/>
      <c r="I98" s="206"/>
      <c r="J98" s="218"/>
      <c r="K98" s="218"/>
      <c r="L98" s="218"/>
      <c r="M98" s="218" t="s">
        <v>1241</v>
      </c>
      <c r="N98" s="218"/>
    </row>
    <row r="99" spans="1:14" ht="16.2" customHeight="1">
      <c r="A99" s="275"/>
      <c r="B99" s="191" t="s">
        <v>1351</v>
      </c>
      <c r="C99" s="193"/>
      <c r="D99" s="277"/>
      <c r="E99" s="85" t="s">
        <v>1271</v>
      </c>
      <c r="F99" s="218" t="s">
        <v>1241</v>
      </c>
      <c r="G99" s="218" t="s">
        <v>1241</v>
      </c>
      <c r="H99" s="218"/>
      <c r="I99" s="206"/>
      <c r="J99" s="218"/>
      <c r="K99" s="218"/>
      <c r="L99" s="218"/>
      <c r="M99" s="218" t="s">
        <v>1241</v>
      </c>
      <c r="N99" s="218"/>
    </row>
    <row r="100" spans="1:14" ht="16.2" customHeight="1">
      <c r="A100" s="275"/>
      <c r="B100" s="191" t="s">
        <v>1352</v>
      </c>
      <c r="C100" s="193"/>
      <c r="D100" s="278"/>
      <c r="E100" s="85" t="s">
        <v>1271</v>
      </c>
      <c r="F100" s="218" t="s">
        <v>1241</v>
      </c>
      <c r="G100" s="218" t="s">
        <v>1241</v>
      </c>
      <c r="H100" s="218"/>
      <c r="I100" s="206"/>
      <c r="J100" s="218"/>
      <c r="K100" s="218"/>
      <c r="L100" s="218"/>
      <c r="M100" s="218" t="s">
        <v>1241</v>
      </c>
      <c r="N100" s="218"/>
    </row>
    <row r="101" spans="1:14">
      <c r="A101" s="275"/>
      <c r="B101" s="220" t="s">
        <v>1353</v>
      </c>
      <c r="C101" s="221" t="s">
        <v>1218</v>
      </c>
      <c r="D101" s="192"/>
      <c r="E101" s="85" t="s">
        <v>1219</v>
      </c>
      <c r="F101" s="218"/>
      <c r="G101" s="218"/>
      <c r="H101" s="218"/>
      <c r="I101" s="218"/>
      <c r="J101" s="218"/>
      <c r="K101" s="218"/>
      <c r="L101" s="218"/>
      <c r="M101" s="218"/>
      <c r="N101" s="218"/>
    </row>
    <row r="102" spans="1:14">
      <c r="A102" s="272" t="s">
        <v>1354</v>
      </c>
      <c r="B102" s="191" t="s">
        <v>1355</v>
      </c>
      <c r="C102" s="193"/>
      <c r="D102" s="207" t="s">
        <v>1356</v>
      </c>
      <c r="E102" s="85" t="s">
        <v>1271</v>
      </c>
      <c r="F102" s="218" t="s">
        <v>1241</v>
      </c>
      <c r="G102" s="218" t="s">
        <v>1241</v>
      </c>
      <c r="H102" s="218"/>
      <c r="I102" s="206"/>
      <c r="J102" s="218"/>
      <c r="K102" s="218"/>
      <c r="L102" s="218"/>
      <c r="M102" s="218" t="s">
        <v>1241</v>
      </c>
      <c r="N102" s="218"/>
    </row>
    <row r="103" spans="1:14">
      <c r="A103" s="273"/>
      <c r="B103" s="220" t="s">
        <v>1357</v>
      </c>
      <c r="C103" s="221" t="s">
        <v>1229</v>
      </c>
      <c r="D103" s="192"/>
      <c r="E103" s="85" t="s">
        <v>1230</v>
      </c>
      <c r="F103" s="218"/>
      <c r="G103" s="218"/>
      <c r="H103" s="218"/>
      <c r="I103" s="218"/>
      <c r="J103" s="218"/>
      <c r="K103" s="218"/>
      <c r="L103" s="218"/>
      <c r="M103" s="218"/>
      <c r="N103" s="218"/>
    </row>
    <row r="104" spans="1:14">
      <c r="A104" s="273"/>
      <c r="B104" s="191" t="s">
        <v>1358</v>
      </c>
      <c r="C104" s="193"/>
      <c r="D104" s="207" t="s">
        <v>1359</v>
      </c>
      <c r="E104" s="86" t="s">
        <v>1360</v>
      </c>
      <c r="F104" s="218" t="s">
        <v>1251</v>
      </c>
      <c r="G104" s="218" t="s">
        <v>1251</v>
      </c>
      <c r="H104" s="228" t="s">
        <v>1251</v>
      </c>
      <c r="I104" s="206"/>
      <c r="J104" s="218"/>
      <c r="K104" s="218"/>
      <c r="L104" s="218"/>
      <c r="M104" s="218" t="s">
        <v>1251</v>
      </c>
      <c r="N104" s="218"/>
    </row>
    <row r="105" spans="1:14">
      <c r="A105" s="273"/>
      <c r="B105" s="191" t="s">
        <v>1370</v>
      </c>
      <c r="C105" s="193"/>
      <c r="D105" s="207" t="s">
        <v>1356</v>
      </c>
      <c r="E105" s="85" t="s">
        <v>1271</v>
      </c>
      <c r="F105" s="218" t="s">
        <v>1241</v>
      </c>
      <c r="G105" s="218" t="s">
        <v>1241</v>
      </c>
      <c r="H105" s="218"/>
      <c r="I105" s="206"/>
      <c r="J105" s="218"/>
      <c r="K105" s="218"/>
      <c r="L105" s="218"/>
      <c r="M105" s="218" t="s">
        <v>1241</v>
      </c>
      <c r="N105" s="218"/>
    </row>
    <row r="106" spans="1:14">
      <c r="A106" s="273"/>
      <c r="B106" s="191" t="s">
        <v>1372</v>
      </c>
      <c r="C106" s="193"/>
      <c r="D106" s="192" t="s">
        <v>1248</v>
      </c>
      <c r="E106" s="85" t="s">
        <v>1361</v>
      </c>
      <c r="F106" s="218" t="s">
        <v>1241</v>
      </c>
      <c r="G106" s="218" t="s">
        <v>1241</v>
      </c>
      <c r="H106" s="218" t="s">
        <v>1241</v>
      </c>
      <c r="I106" s="218"/>
      <c r="J106" s="218"/>
      <c r="K106" s="218" t="s">
        <v>1241</v>
      </c>
      <c r="L106" s="218" t="s">
        <v>1241</v>
      </c>
      <c r="M106" s="218" t="s">
        <v>1241</v>
      </c>
      <c r="N106" s="218"/>
    </row>
    <row r="107" spans="1:14">
      <c r="A107" s="273"/>
      <c r="B107" s="191" t="s">
        <v>1362</v>
      </c>
      <c r="C107" s="193" t="s">
        <v>1245</v>
      </c>
      <c r="D107" s="192"/>
      <c r="E107" s="85" t="s">
        <v>1307</v>
      </c>
      <c r="F107" s="218" t="s">
        <v>1241</v>
      </c>
      <c r="G107" s="218" t="s">
        <v>1241</v>
      </c>
      <c r="H107" s="218" t="s">
        <v>1241</v>
      </c>
      <c r="I107" s="218"/>
      <c r="J107" s="218"/>
      <c r="K107" s="218"/>
      <c r="L107" s="218"/>
      <c r="M107" s="218"/>
      <c r="N107" s="218"/>
    </row>
    <row r="108" spans="1:14">
      <c r="A108" s="273"/>
      <c r="B108" s="191" t="s">
        <v>1373</v>
      </c>
      <c r="C108" s="193"/>
      <c r="D108" s="207" t="s">
        <v>1356</v>
      </c>
      <c r="E108" s="85" t="s">
        <v>1363</v>
      </c>
      <c r="F108" s="218" t="s">
        <v>1241</v>
      </c>
      <c r="G108" s="218" t="s">
        <v>1241</v>
      </c>
      <c r="H108" s="218"/>
      <c r="I108" s="206"/>
      <c r="J108" s="218"/>
      <c r="K108" s="218"/>
      <c r="L108" s="218"/>
      <c r="M108" s="218"/>
      <c r="N108" s="218"/>
    </row>
    <row r="109" spans="1:14">
      <c r="B109" s="229"/>
      <c r="C109" s="229"/>
    </row>
  </sheetData>
  <autoFilter ref="A3:N111"/>
  <mergeCells count="20"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V50"/>
  <sheetViews>
    <sheetView zoomScale="80" zoomScaleNormal="80" workbookViewId="0">
      <selection activeCell="M8" sqref="M8"/>
    </sheetView>
  </sheetViews>
  <sheetFormatPr defaultColWidth="8.88671875" defaultRowHeight="16.8"/>
  <cols>
    <col min="1" max="1" width="8.88671875" style="248"/>
    <col min="2" max="3" width="8.88671875" style="248" bestFit="1" customWidth="1"/>
    <col min="4" max="4" width="22.21875" style="248" bestFit="1" customWidth="1"/>
    <col min="5" max="5" width="11.88671875" style="248" bestFit="1" customWidth="1"/>
    <col min="6" max="6" width="8.88671875" style="248"/>
    <col min="7" max="7" width="5.44140625" style="248" bestFit="1" customWidth="1"/>
    <col min="8" max="8" width="15.88671875" style="248" bestFit="1" customWidth="1"/>
    <col min="9" max="10" width="5.44140625" style="248" bestFit="1" customWidth="1"/>
    <col min="11" max="11" width="10.44140625" style="248" customWidth="1"/>
    <col min="12" max="12" width="12.33203125" style="248" customWidth="1"/>
    <col min="13" max="13" width="17.33203125" style="248" bestFit="1" customWidth="1"/>
    <col min="14" max="14" width="13.33203125" style="248" customWidth="1"/>
    <col min="15" max="21" width="8.88671875" style="248"/>
    <col min="22" max="22" width="11.88671875" style="248" bestFit="1" customWidth="1"/>
    <col min="23" max="16384" width="8.88671875" style="248"/>
  </cols>
  <sheetData>
    <row r="1" spans="1:22">
      <c r="A1" s="246"/>
      <c r="B1" s="246"/>
      <c r="C1" s="247"/>
      <c r="D1" s="246"/>
      <c r="E1" s="246"/>
      <c r="F1" s="246"/>
      <c r="G1" s="246"/>
      <c r="H1" s="246" t="s">
        <v>1375</v>
      </c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39.6" customHeight="1">
      <c r="A2" s="303" t="s">
        <v>1376</v>
      </c>
      <c r="B2" s="303"/>
      <c r="C2" s="304"/>
      <c r="D2" s="305" t="s">
        <v>1377</v>
      </c>
      <c r="E2" s="306"/>
      <c r="F2" s="306"/>
      <c r="G2" s="307"/>
      <c r="H2" s="305" t="s">
        <v>1378</v>
      </c>
      <c r="I2" s="306"/>
      <c r="J2" s="307"/>
      <c r="K2" s="249" t="s">
        <v>1379</v>
      </c>
      <c r="L2" s="250" t="s">
        <v>1380</v>
      </c>
      <c r="M2" s="250" t="s">
        <v>1434</v>
      </c>
      <c r="N2" s="250" t="s">
        <v>1436</v>
      </c>
      <c r="O2" s="250" t="s">
        <v>1381</v>
      </c>
      <c r="P2" s="250" t="s">
        <v>1382</v>
      </c>
      <c r="Q2" s="250" t="s">
        <v>1383</v>
      </c>
      <c r="R2" s="250" t="s">
        <v>1384</v>
      </c>
      <c r="S2" s="250" t="s">
        <v>1385</v>
      </c>
      <c r="T2" s="250" t="s">
        <v>1386</v>
      </c>
      <c r="U2" s="250" t="s">
        <v>1387</v>
      </c>
      <c r="V2" s="251" t="s">
        <v>1388</v>
      </c>
    </row>
    <row r="3" spans="1:22">
      <c r="A3" s="252" t="s">
        <v>1389</v>
      </c>
      <c r="B3" s="252" t="s">
        <v>1390</v>
      </c>
      <c r="C3" s="252" t="s">
        <v>1391</v>
      </c>
      <c r="D3" s="252" t="s">
        <v>1389</v>
      </c>
      <c r="E3" s="252" t="s">
        <v>1392</v>
      </c>
      <c r="F3" s="252" t="s">
        <v>1393</v>
      </c>
      <c r="G3" s="252" t="s">
        <v>1390</v>
      </c>
      <c r="H3" s="252" t="s">
        <v>1389</v>
      </c>
      <c r="I3" s="252" t="s">
        <v>1390</v>
      </c>
      <c r="J3" s="252" t="s">
        <v>1391</v>
      </c>
      <c r="K3" s="252"/>
      <c r="M3" s="248" t="s">
        <v>1433</v>
      </c>
      <c r="N3" s="248" t="s">
        <v>1435</v>
      </c>
    </row>
    <row r="4" spans="1:22">
      <c r="A4" s="252">
        <v>1.6</v>
      </c>
      <c r="B4" s="252">
        <v>2.5</v>
      </c>
      <c r="C4" s="252">
        <v>1.25</v>
      </c>
      <c r="D4" s="252">
        <v>1.6</v>
      </c>
      <c r="E4" s="252">
        <v>4</v>
      </c>
      <c r="F4" s="252">
        <v>0.5</v>
      </c>
      <c r="G4" s="252">
        <v>1.6</v>
      </c>
      <c r="H4" s="252">
        <v>1.6</v>
      </c>
      <c r="I4" s="252">
        <v>2.5</v>
      </c>
      <c r="J4" s="252">
        <v>1.25</v>
      </c>
      <c r="M4" s="248" t="s">
        <v>1431</v>
      </c>
    </row>
    <row r="5" spans="1:22">
      <c r="A5" s="252">
        <v>2</v>
      </c>
      <c r="B5" s="252">
        <v>3.6</v>
      </c>
      <c r="C5" s="252">
        <v>1.6</v>
      </c>
      <c r="D5" s="252">
        <v>2</v>
      </c>
      <c r="E5" s="252">
        <v>4</v>
      </c>
      <c r="F5" s="252">
        <v>0.6</v>
      </c>
      <c r="G5" s="252">
        <v>2</v>
      </c>
      <c r="H5" s="252">
        <v>2</v>
      </c>
      <c r="I5" s="252">
        <v>3.6</v>
      </c>
      <c r="J5" s="252">
        <v>1.6</v>
      </c>
      <c r="M5" s="248" t="s">
        <v>1432</v>
      </c>
    </row>
    <row r="6" spans="1:22">
      <c r="A6" s="252">
        <v>2.5</v>
      </c>
      <c r="B6" s="252">
        <v>4.2</v>
      </c>
      <c r="C6" s="252">
        <v>2.0499999999999998</v>
      </c>
      <c r="D6" s="252">
        <v>2.5</v>
      </c>
      <c r="E6" s="252">
        <v>6</v>
      </c>
      <c r="F6" s="252">
        <v>0.8</v>
      </c>
      <c r="G6" s="252">
        <v>2.5</v>
      </c>
      <c r="H6" s="252">
        <v>2.5</v>
      </c>
      <c r="I6" s="252">
        <v>4.2</v>
      </c>
      <c r="J6" s="252">
        <v>2.0499999999999998</v>
      </c>
      <c r="M6" s="248" t="s">
        <v>626</v>
      </c>
    </row>
    <row r="7" spans="1:22">
      <c r="A7" s="252">
        <v>2.6</v>
      </c>
      <c r="B7" s="252">
        <v>4.2</v>
      </c>
      <c r="C7" s="252">
        <v>2.0499999999999998</v>
      </c>
      <c r="D7" s="252">
        <v>2.6</v>
      </c>
      <c r="E7" s="252">
        <v>6</v>
      </c>
      <c r="F7" s="252">
        <v>0.8</v>
      </c>
      <c r="G7" s="252">
        <v>2.6</v>
      </c>
      <c r="H7" s="252">
        <v>2.6</v>
      </c>
      <c r="I7" s="252">
        <v>4.2</v>
      </c>
      <c r="J7" s="252">
        <v>2.0499999999999998</v>
      </c>
    </row>
    <row r="8" spans="1:22">
      <c r="A8" s="252">
        <v>3</v>
      </c>
      <c r="B8" s="252">
        <v>4.5999999999999996</v>
      </c>
      <c r="C8" s="252">
        <v>2.5</v>
      </c>
      <c r="D8" s="252">
        <v>3</v>
      </c>
      <c r="E8" s="252"/>
      <c r="F8" s="252"/>
      <c r="G8" s="252">
        <v>3</v>
      </c>
      <c r="H8" s="252">
        <v>3</v>
      </c>
      <c r="I8" s="252">
        <v>4.5999999999999996</v>
      </c>
      <c r="J8" s="252">
        <v>2.5</v>
      </c>
    </row>
    <row r="11" spans="1:22">
      <c r="D11" s="252" t="s">
        <v>1394</v>
      </c>
      <c r="E11" s="252" t="s">
        <v>1392</v>
      </c>
      <c r="H11" s="248" t="s">
        <v>1395</v>
      </c>
    </row>
    <row r="12" spans="1:22">
      <c r="D12" s="252" t="s">
        <v>1396</v>
      </c>
      <c r="E12" s="252" t="s">
        <v>1390</v>
      </c>
      <c r="H12" s="248" t="s">
        <v>1397</v>
      </c>
    </row>
    <row r="13" spans="1:22">
      <c r="D13" s="252" t="s">
        <v>1398</v>
      </c>
      <c r="E13" s="252" t="s">
        <v>1399</v>
      </c>
      <c r="H13" s="248" t="s">
        <v>1400</v>
      </c>
    </row>
    <row r="14" spans="1:22">
      <c r="D14" s="252" t="s">
        <v>1394</v>
      </c>
      <c r="E14" s="252" t="s">
        <v>1393</v>
      </c>
    </row>
    <row r="15" spans="1:22">
      <c r="D15" s="252" t="s">
        <v>1396</v>
      </c>
      <c r="E15" s="252" t="s">
        <v>1401</v>
      </c>
    </row>
    <row r="16" spans="1:22">
      <c r="D16" s="252" t="s">
        <v>1398</v>
      </c>
      <c r="E16" s="252" t="s">
        <v>1402</v>
      </c>
    </row>
    <row r="17" spans="4:8">
      <c r="D17" s="252" t="s">
        <v>1394</v>
      </c>
      <c r="E17" s="252" t="s">
        <v>1403</v>
      </c>
    </row>
    <row r="18" spans="4:8">
      <c r="D18" s="252" t="s">
        <v>1396</v>
      </c>
      <c r="E18" s="252" t="s">
        <v>1404</v>
      </c>
    </row>
    <row r="19" spans="4:8">
      <c r="D19" s="252" t="s">
        <v>1398</v>
      </c>
      <c r="E19" s="252" t="s">
        <v>1390</v>
      </c>
    </row>
    <row r="20" spans="4:8">
      <c r="D20" s="252" t="s">
        <v>1405</v>
      </c>
      <c r="E20" s="252" t="s">
        <v>1406</v>
      </c>
      <c r="H20" s="248" t="s">
        <v>1407</v>
      </c>
    </row>
    <row r="21" spans="4:8">
      <c r="D21" s="252" t="s">
        <v>1408</v>
      </c>
      <c r="E21" s="252" t="s">
        <v>1409</v>
      </c>
    </row>
    <row r="22" spans="4:8">
      <c r="D22" s="252" t="s">
        <v>1408</v>
      </c>
      <c r="E22" s="252" t="s">
        <v>1410</v>
      </c>
      <c r="G22" s="248" t="s">
        <v>1407</v>
      </c>
    </row>
    <row r="23" spans="4:8">
      <c r="D23" s="252" t="s">
        <v>1405</v>
      </c>
      <c r="E23" s="252" t="s">
        <v>1411</v>
      </c>
    </row>
    <row r="24" spans="4:8">
      <c r="D24" s="252" t="s">
        <v>1408</v>
      </c>
      <c r="E24" s="252" t="s">
        <v>1412</v>
      </c>
    </row>
    <row r="25" spans="4:8">
      <c r="D25" s="252" t="s">
        <v>1405</v>
      </c>
      <c r="E25" s="252" t="s">
        <v>1413</v>
      </c>
    </row>
    <row r="26" spans="4:8">
      <c r="D26" s="252" t="s">
        <v>1398</v>
      </c>
      <c r="E26" s="252" t="s">
        <v>1391</v>
      </c>
    </row>
    <row r="27" spans="4:8">
      <c r="D27" s="252" t="s">
        <v>1396</v>
      </c>
      <c r="E27" s="252" t="s">
        <v>1391</v>
      </c>
    </row>
    <row r="28" spans="4:8">
      <c r="D28" s="252"/>
      <c r="E28" s="252"/>
    </row>
    <row r="29" spans="4:8">
      <c r="D29" s="252" t="s">
        <v>1394</v>
      </c>
      <c r="E29" s="252" t="s">
        <v>1414</v>
      </c>
    </row>
    <row r="30" spans="4:8">
      <c r="D30" s="252" t="s">
        <v>1414</v>
      </c>
      <c r="E30" s="252" t="s">
        <v>1415</v>
      </c>
    </row>
    <row r="31" spans="4:8">
      <c r="D31" s="252" t="s">
        <v>1414</v>
      </c>
      <c r="E31" s="252" t="s">
        <v>1416</v>
      </c>
    </row>
    <row r="32" spans="4:8">
      <c r="D32" s="252"/>
      <c r="E32" s="252"/>
    </row>
    <row r="33" spans="4:5">
      <c r="D33" s="252" t="s">
        <v>1415</v>
      </c>
      <c r="E33" s="252" t="s">
        <v>1417</v>
      </c>
    </row>
    <row r="34" spans="4:5">
      <c r="D34" s="252" t="s">
        <v>1415</v>
      </c>
      <c r="E34" s="252" t="s">
        <v>1418</v>
      </c>
    </row>
    <row r="35" spans="4:5">
      <c r="D35" s="252"/>
      <c r="E35" s="252"/>
    </row>
    <row r="36" spans="4:5">
      <c r="D36" s="252" t="s">
        <v>1394</v>
      </c>
      <c r="E36" s="252" t="s">
        <v>1394</v>
      </c>
    </row>
    <row r="37" spans="4:5">
      <c r="D37" s="252"/>
      <c r="E37" s="252"/>
    </row>
    <row r="38" spans="4:5">
      <c r="D38" s="252"/>
      <c r="E38" s="252"/>
    </row>
    <row r="39" spans="4:5">
      <c r="D39" s="252"/>
      <c r="E39" s="252"/>
    </row>
    <row r="40" spans="4:5" ht="20.399999999999999">
      <c r="D40" s="253" t="s">
        <v>1419</v>
      </c>
      <c r="E40" s="254" t="s">
        <v>1420</v>
      </c>
    </row>
    <row r="41" spans="4:5">
      <c r="D41" s="255" t="s">
        <v>1421</v>
      </c>
      <c r="E41" s="252">
        <v>12</v>
      </c>
    </row>
    <row r="42" spans="4:5">
      <c r="D42" s="255" t="s">
        <v>1422</v>
      </c>
      <c r="E42" s="252">
        <v>4</v>
      </c>
    </row>
    <row r="43" spans="4:5">
      <c r="D43" s="255" t="s">
        <v>1423</v>
      </c>
      <c r="E43" s="252">
        <v>15</v>
      </c>
    </row>
    <row r="44" spans="4:5">
      <c r="D44" s="255" t="s">
        <v>1424</v>
      </c>
      <c r="E44" s="252">
        <v>20</v>
      </c>
    </row>
    <row r="45" spans="4:5">
      <c r="D45" s="255" t="s">
        <v>1425</v>
      </c>
      <c r="E45" s="252">
        <v>30</v>
      </c>
    </row>
    <row r="46" spans="4:5" ht="21">
      <c r="D46" s="255" t="s">
        <v>1426</v>
      </c>
      <c r="E46" s="252">
        <v>38</v>
      </c>
    </row>
    <row r="47" spans="4:5">
      <c r="D47" s="255" t="s">
        <v>1427</v>
      </c>
      <c r="E47" s="252">
        <v>38</v>
      </c>
    </row>
    <row r="48" spans="4:5">
      <c r="D48" s="255" t="s">
        <v>1428</v>
      </c>
      <c r="E48" s="252">
        <v>0.1</v>
      </c>
    </row>
    <row r="49" spans="4:5">
      <c r="D49" s="255" t="s">
        <v>1429</v>
      </c>
      <c r="E49" s="252">
        <v>0.01</v>
      </c>
    </row>
    <row r="50" spans="4:5">
      <c r="D50" s="255" t="s">
        <v>1430</v>
      </c>
      <c r="E50" s="252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zoomScale="80" zoomScaleNormal="80" workbookViewId="0">
      <pane ySplit="1" topLeftCell="A2" activePane="bottomLeft" state="frozen"/>
      <selection pane="bottomLeft" activeCell="B95" sqref="B95"/>
    </sheetView>
  </sheetViews>
  <sheetFormatPr defaultColWidth="8.88671875" defaultRowHeight="16.2"/>
  <cols>
    <col min="1" max="1" width="44.33203125" style="92" bestFit="1" customWidth="1"/>
    <col min="2" max="2" width="40.88671875" style="92" customWidth="1"/>
    <col min="3" max="3" width="33" style="92" customWidth="1"/>
    <col min="4" max="4" width="11.6640625" style="92" bestFit="1" customWidth="1"/>
    <col min="5" max="5" width="9.6640625" style="92" bestFit="1" customWidth="1"/>
    <col min="6" max="6" width="21.88671875" style="92" customWidth="1"/>
    <col min="7" max="7" width="8.21875" style="92" bestFit="1" customWidth="1"/>
    <col min="8" max="9" width="8.21875" style="92" customWidth="1"/>
    <col min="10" max="10" width="26.44140625" style="92" bestFit="1" customWidth="1"/>
    <col min="11" max="11" width="39" style="92" customWidth="1"/>
    <col min="12" max="12" width="35.44140625" style="92" customWidth="1"/>
    <col min="13" max="13" width="46.77734375" style="92" customWidth="1"/>
    <col min="14" max="14" width="42.33203125" style="92" customWidth="1"/>
    <col min="15" max="15" width="44.44140625" style="92" customWidth="1"/>
    <col min="16" max="16" width="44.109375" style="92" customWidth="1"/>
    <col min="17" max="27" width="8.88671875" style="92"/>
    <col min="28" max="28" width="13.21875" style="92" customWidth="1"/>
    <col min="29" max="16384" width="8.88671875" style="92"/>
  </cols>
  <sheetData>
    <row r="1" spans="1:30" ht="26.4">
      <c r="A1" s="130" t="s">
        <v>1173</v>
      </c>
      <c r="B1" s="130" t="s">
        <v>690</v>
      </c>
      <c r="C1" s="130" t="s">
        <v>691</v>
      </c>
      <c r="D1" s="130" t="s">
        <v>49</v>
      </c>
      <c r="E1" s="130" t="s">
        <v>20</v>
      </c>
      <c r="F1" s="130" t="s">
        <v>460</v>
      </c>
      <c r="G1" s="130" t="s">
        <v>50</v>
      </c>
      <c r="H1" s="130"/>
      <c r="I1" s="130"/>
      <c r="J1" s="130" t="s">
        <v>52</v>
      </c>
      <c r="K1" s="130" t="s">
        <v>692</v>
      </c>
      <c r="L1" s="130" t="s">
        <v>693</v>
      </c>
      <c r="M1" s="130" t="s">
        <v>694</v>
      </c>
      <c r="N1" s="130" t="s">
        <v>53</v>
      </c>
      <c r="O1" s="130" t="s">
        <v>1437</v>
      </c>
      <c r="P1" s="130" t="s">
        <v>51</v>
      </c>
      <c r="Q1" s="130" t="s">
        <v>54</v>
      </c>
      <c r="R1" s="130" t="s">
        <v>55</v>
      </c>
      <c r="S1" s="130" t="s">
        <v>56</v>
      </c>
      <c r="T1" s="130" t="s">
        <v>57</v>
      </c>
      <c r="U1" s="130" t="s">
        <v>58</v>
      </c>
      <c r="V1" s="130" t="s">
        <v>59</v>
      </c>
      <c r="W1" s="130" t="s">
        <v>60</v>
      </c>
      <c r="X1" s="130" t="s">
        <v>61</v>
      </c>
      <c r="Y1" s="130" t="s">
        <v>62</v>
      </c>
      <c r="Z1" s="130" t="s">
        <v>63</v>
      </c>
      <c r="AA1" s="130" t="s">
        <v>64</v>
      </c>
      <c r="AB1" s="130" t="s">
        <v>22</v>
      </c>
      <c r="AC1" s="130" t="s">
        <v>65</v>
      </c>
      <c r="AD1" s="130" t="s">
        <v>66</v>
      </c>
    </row>
    <row r="2" spans="1:30">
      <c r="A2" s="213" t="s">
        <v>1171</v>
      </c>
      <c r="B2" s="131" t="s">
        <v>440</v>
      </c>
      <c r="C2" s="131" t="s">
        <v>441</v>
      </c>
      <c r="D2" s="132" t="str">
        <f>'Material Spec.'!A4</f>
        <v>SUS301</v>
      </c>
      <c r="E2" s="133" t="s">
        <v>911</v>
      </c>
      <c r="F2" s="92" t="s">
        <v>251</v>
      </c>
      <c r="J2" s="134" t="s">
        <v>135</v>
      </c>
      <c r="K2" s="135" t="s">
        <v>695</v>
      </c>
      <c r="L2" s="135" t="s">
        <v>695</v>
      </c>
      <c r="M2" s="136" t="s">
        <v>776</v>
      </c>
      <c r="N2" s="137" t="s">
        <v>286</v>
      </c>
      <c r="O2" s="138" t="s">
        <v>252</v>
      </c>
      <c r="P2" s="131" t="s">
        <v>448</v>
      </c>
    </row>
    <row r="3" spans="1:30">
      <c r="A3" s="131" t="s">
        <v>440</v>
      </c>
      <c r="B3" s="131" t="s">
        <v>442</v>
      </c>
      <c r="C3" s="131" t="s">
        <v>443</v>
      </c>
      <c r="D3" s="133" t="s">
        <v>907</v>
      </c>
      <c r="E3" s="133" t="s">
        <v>912</v>
      </c>
      <c r="F3" s="92" t="s">
        <v>246</v>
      </c>
      <c r="J3" s="134" t="s">
        <v>136</v>
      </c>
      <c r="K3" s="136" t="s">
        <v>715</v>
      </c>
      <c r="L3" s="135" t="s">
        <v>695</v>
      </c>
      <c r="M3" s="136" t="s">
        <v>777</v>
      </c>
      <c r="N3" s="139" t="s">
        <v>288</v>
      </c>
      <c r="O3" s="140" t="s">
        <v>266</v>
      </c>
      <c r="P3" s="131" t="s">
        <v>450</v>
      </c>
    </row>
    <row r="4" spans="1:30">
      <c r="A4" s="131" t="s">
        <v>442</v>
      </c>
      <c r="B4" s="131" t="s">
        <v>444</v>
      </c>
      <c r="C4" s="131" t="s">
        <v>445</v>
      </c>
      <c r="D4" s="133" t="s">
        <v>908</v>
      </c>
      <c r="E4" s="133" t="s">
        <v>913</v>
      </c>
      <c r="F4" s="92" t="s">
        <v>247</v>
      </c>
      <c r="J4" s="134" t="s">
        <v>138</v>
      </c>
      <c r="K4" s="136" t="s">
        <v>696</v>
      </c>
      <c r="L4" s="135" t="s">
        <v>695</v>
      </c>
      <c r="M4" s="136" t="s">
        <v>778</v>
      </c>
      <c r="N4" s="139" t="s">
        <v>290</v>
      </c>
      <c r="O4" s="140" t="s">
        <v>268</v>
      </c>
      <c r="P4" s="141" t="s">
        <v>272</v>
      </c>
    </row>
    <row r="5" spans="1:30">
      <c r="A5" s="131" t="s">
        <v>444</v>
      </c>
      <c r="B5" s="131" t="s">
        <v>446</v>
      </c>
      <c r="C5" s="131" t="s">
        <v>447</v>
      </c>
      <c r="D5" s="133" t="s">
        <v>909</v>
      </c>
      <c r="E5" s="133" t="s">
        <v>914</v>
      </c>
      <c r="F5" s="92" t="s">
        <v>249</v>
      </c>
      <c r="J5" s="134" t="s">
        <v>137</v>
      </c>
      <c r="K5" s="136" t="s">
        <v>697</v>
      </c>
      <c r="L5" s="136" t="s">
        <v>715</v>
      </c>
      <c r="M5" s="136" t="s">
        <v>631</v>
      </c>
      <c r="N5" s="142" t="s">
        <v>310</v>
      </c>
      <c r="O5" s="143" t="s">
        <v>270</v>
      </c>
      <c r="P5" s="144" t="s">
        <v>274</v>
      </c>
    </row>
    <row r="6" spans="1:30">
      <c r="A6" s="131" t="s">
        <v>446</v>
      </c>
      <c r="B6" s="131" t="s">
        <v>448</v>
      </c>
      <c r="C6" s="131" t="s">
        <v>449</v>
      </c>
      <c r="D6" s="133" t="s">
        <v>910</v>
      </c>
      <c r="F6" s="92" t="s">
        <v>453</v>
      </c>
      <c r="J6" s="134" t="s">
        <v>139</v>
      </c>
      <c r="K6" s="136" t="s">
        <v>698</v>
      </c>
      <c r="L6" s="136" t="s">
        <v>715</v>
      </c>
      <c r="M6" s="136" t="s">
        <v>632</v>
      </c>
      <c r="N6" s="137" t="s">
        <v>312</v>
      </c>
      <c r="O6" s="137" t="s">
        <v>286</v>
      </c>
      <c r="P6" s="144" t="s">
        <v>276</v>
      </c>
    </row>
    <row r="7" spans="1:30">
      <c r="A7" s="131" t="s">
        <v>448</v>
      </c>
      <c r="B7" s="131" t="s">
        <v>450</v>
      </c>
      <c r="C7" s="131" t="s">
        <v>451</v>
      </c>
      <c r="F7" s="92" t="s">
        <v>454</v>
      </c>
      <c r="J7" s="134" t="s">
        <v>140</v>
      </c>
      <c r="K7" s="136" t="s">
        <v>699</v>
      </c>
      <c r="L7" s="136" t="s">
        <v>715</v>
      </c>
      <c r="M7" s="136" t="s">
        <v>633</v>
      </c>
      <c r="N7" s="137" t="s">
        <v>314</v>
      </c>
      <c r="O7" s="139" t="s">
        <v>288</v>
      </c>
      <c r="P7" s="144" t="s">
        <v>278</v>
      </c>
    </row>
    <row r="8" spans="1:30">
      <c r="A8" s="131" t="s">
        <v>450</v>
      </c>
      <c r="B8" s="138" t="s">
        <v>252</v>
      </c>
      <c r="C8" s="138" t="s">
        <v>265</v>
      </c>
      <c r="D8" s="132" t="str">
        <f>'Material Spec.'!A8</f>
        <v>SECC</v>
      </c>
      <c r="F8" s="92" t="s">
        <v>452</v>
      </c>
      <c r="J8" s="134" t="s">
        <v>141</v>
      </c>
      <c r="K8" s="136" t="s">
        <v>700</v>
      </c>
      <c r="L8" s="136" t="s">
        <v>715</v>
      </c>
      <c r="M8" s="136" t="s">
        <v>634</v>
      </c>
      <c r="N8" s="145" t="s">
        <v>318</v>
      </c>
      <c r="O8" s="139" t="s">
        <v>290</v>
      </c>
      <c r="P8" s="144" t="s">
        <v>280</v>
      </c>
    </row>
    <row r="9" spans="1:30">
      <c r="A9" s="138" t="s">
        <v>252</v>
      </c>
      <c r="B9" s="138" t="s">
        <v>252</v>
      </c>
      <c r="C9" s="138" t="s">
        <v>267</v>
      </c>
      <c r="D9" s="133" t="str">
        <f>'Material Spec.'!A9</f>
        <v>SGCC</v>
      </c>
      <c r="F9" s="92" t="s">
        <v>455</v>
      </c>
      <c r="J9" s="134" t="s">
        <v>142</v>
      </c>
      <c r="K9" s="136" t="s">
        <v>701</v>
      </c>
      <c r="L9" s="136" t="s">
        <v>715</v>
      </c>
      <c r="M9" s="136" t="s">
        <v>635</v>
      </c>
      <c r="N9" s="140" t="s">
        <v>320</v>
      </c>
      <c r="O9" s="142" t="s">
        <v>310</v>
      </c>
      <c r="P9" s="146" t="s">
        <v>282</v>
      </c>
    </row>
    <row r="10" spans="1:30">
      <c r="A10" s="140" t="s">
        <v>266</v>
      </c>
      <c r="B10" s="138" t="s">
        <v>252</v>
      </c>
      <c r="C10" s="138" t="s">
        <v>269</v>
      </c>
      <c r="D10" s="132" t="str">
        <f>'Material Spec.'!A10</f>
        <v>SPCC</v>
      </c>
      <c r="F10" s="92" t="s">
        <v>456</v>
      </c>
      <c r="J10" s="134" t="s">
        <v>254</v>
      </c>
      <c r="K10" s="136" t="s">
        <v>702</v>
      </c>
      <c r="L10" s="136" t="s">
        <v>715</v>
      </c>
      <c r="M10" s="136" t="s">
        <v>636</v>
      </c>
      <c r="N10" s="147" t="s">
        <v>324</v>
      </c>
      <c r="O10" s="137" t="s">
        <v>312</v>
      </c>
      <c r="P10" s="148" t="s">
        <v>284</v>
      </c>
    </row>
    <row r="11" spans="1:30">
      <c r="A11" s="140" t="s">
        <v>268</v>
      </c>
      <c r="B11" s="138" t="s">
        <v>252</v>
      </c>
      <c r="C11" s="138" t="s">
        <v>271</v>
      </c>
      <c r="D11" s="133" t="str">
        <f>'Material Spec.'!A12</f>
        <v>SPTE</v>
      </c>
      <c r="F11" s="92" t="s">
        <v>457</v>
      </c>
      <c r="J11" s="92" t="s">
        <v>130</v>
      </c>
      <c r="K11" s="136" t="s">
        <v>703</v>
      </c>
      <c r="L11" s="136" t="s">
        <v>715</v>
      </c>
      <c r="M11" s="136" t="s">
        <v>637</v>
      </c>
      <c r="N11" s="144" t="s">
        <v>326</v>
      </c>
      <c r="O11" s="137" t="s">
        <v>314</v>
      </c>
      <c r="P11" s="140" t="s">
        <v>292</v>
      </c>
    </row>
    <row r="12" spans="1:30">
      <c r="A12" s="143" t="s">
        <v>270</v>
      </c>
      <c r="B12" s="138" t="s">
        <v>252</v>
      </c>
      <c r="C12" s="138" t="s">
        <v>273</v>
      </c>
      <c r="D12" s="133" t="str">
        <f>'Material Spec.'!A23</f>
        <v>AL6063</v>
      </c>
      <c r="F12" s="92" t="s">
        <v>458</v>
      </c>
      <c r="J12" s="92" t="s">
        <v>131</v>
      </c>
      <c r="K12" s="136" t="s">
        <v>716</v>
      </c>
      <c r="L12" s="136" t="s">
        <v>715</v>
      </c>
      <c r="M12" s="136" t="s">
        <v>638</v>
      </c>
      <c r="N12" s="131" t="s">
        <v>328</v>
      </c>
      <c r="O12" s="139" t="s">
        <v>316</v>
      </c>
      <c r="P12" s="138" t="s">
        <v>294</v>
      </c>
    </row>
    <row r="13" spans="1:30">
      <c r="A13" s="141" t="s">
        <v>272</v>
      </c>
      <c r="B13" s="138" t="s">
        <v>252</v>
      </c>
      <c r="C13" s="138" t="s">
        <v>275</v>
      </c>
      <c r="D13" s="133" t="str">
        <f>'Material Spec.'!A14</f>
        <v>低碳鋼18A</v>
      </c>
      <c r="F13" s="92" t="s">
        <v>459</v>
      </c>
      <c r="J13" s="92" t="s">
        <v>132</v>
      </c>
      <c r="K13" s="136" t="s">
        <v>717</v>
      </c>
      <c r="L13" s="136" t="s">
        <v>715</v>
      </c>
      <c r="M13" s="136" t="s">
        <v>639</v>
      </c>
      <c r="N13" s="139" t="s">
        <v>330</v>
      </c>
      <c r="O13" s="145" t="s">
        <v>318</v>
      </c>
      <c r="P13" s="145" t="s">
        <v>296</v>
      </c>
    </row>
    <row r="14" spans="1:30">
      <c r="A14" s="144" t="s">
        <v>274</v>
      </c>
      <c r="B14" s="140" t="s">
        <v>266</v>
      </c>
      <c r="C14" s="140" t="s">
        <v>277</v>
      </c>
      <c r="J14" s="92" t="s">
        <v>133</v>
      </c>
      <c r="K14" s="136" t="s">
        <v>704</v>
      </c>
      <c r="L14" s="136" t="s">
        <v>715</v>
      </c>
      <c r="M14" s="136" t="s">
        <v>640</v>
      </c>
      <c r="N14" s="145" t="s">
        <v>332</v>
      </c>
      <c r="O14" s="140" t="s">
        <v>320</v>
      </c>
      <c r="P14" s="149" t="s">
        <v>298</v>
      </c>
    </row>
    <row r="15" spans="1:30">
      <c r="A15" s="144" t="s">
        <v>276</v>
      </c>
      <c r="B15" s="140" t="s">
        <v>268</v>
      </c>
      <c r="C15" s="140" t="s">
        <v>279</v>
      </c>
      <c r="D15" s="133" t="str">
        <f>'Material Spec.'!A16</f>
        <v>SUS410</v>
      </c>
      <c r="J15" s="92" t="s">
        <v>134</v>
      </c>
      <c r="K15" s="136" t="s">
        <v>705</v>
      </c>
      <c r="L15" s="136" t="s">
        <v>696</v>
      </c>
      <c r="M15" s="136" t="s">
        <v>641</v>
      </c>
      <c r="N15" s="145" t="s">
        <v>334</v>
      </c>
      <c r="O15" s="143" t="s">
        <v>322</v>
      </c>
      <c r="P15" s="147" t="s">
        <v>300</v>
      </c>
    </row>
    <row r="16" spans="1:30">
      <c r="A16" s="144" t="s">
        <v>278</v>
      </c>
      <c r="B16" s="143" t="s">
        <v>270</v>
      </c>
      <c r="C16" s="143" t="s">
        <v>281</v>
      </c>
      <c r="D16" s="133" t="str">
        <f>'Material Spec.'!A17</f>
        <v>磷青銅</v>
      </c>
      <c r="K16" s="136" t="s">
        <v>723</v>
      </c>
      <c r="L16" s="136" t="s">
        <v>697</v>
      </c>
      <c r="M16" s="136" t="s">
        <v>645</v>
      </c>
      <c r="N16" s="150" t="s">
        <v>336</v>
      </c>
      <c r="O16" s="147" t="s">
        <v>324</v>
      </c>
      <c r="P16" s="139" t="s">
        <v>302</v>
      </c>
    </row>
    <row r="17" spans="1:16">
      <c r="A17" s="144" t="s">
        <v>280</v>
      </c>
      <c r="B17" s="143" t="s">
        <v>270</v>
      </c>
      <c r="C17" s="143" t="s">
        <v>283</v>
      </c>
      <c r="D17" s="133" t="str">
        <f>'Material Spec.'!A18</f>
        <v>PH-CU</v>
      </c>
      <c r="K17" s="136" t="s">
        <v>724</v>
      </c>
      <c r="L17" s="136" t="s">
        <v>698</v>
      </c>
      <c r="M17" s="136" t="s">
        <v>644</v>
      </c>
      <c r="N17" s="143" t="s">
        <v>338</v>
      </c>
      <c r="O17" s="144" t="s">
        <v>326</v>
      </c>
      <c r="P17" s="140" t="s">
        <v>304</v>
      </c>
    </row>
    <row r="18" spans="1:16">
      <c r="A18" s="146" t="s">
        <v>282</v>
      </c>
      <c r="B18" s="141" t="s">
        <v>272</v>
      </c>
      <c r="C18" s="141" t="s">
        <v>285</v>
      </c>
      <c r="D18" s="133" t="s">
        <v>905</v>
      </c>
      <c r="K18" s="136" t="s">
        <v>718</v>
      </c>
      <c r="L18" s="136" t="s">
        <v>699</v>
      </c>
      <c r="M18" s="136" t="s">
        <v>649</v>
      </c>
      <c r="N18" s="131" t="s">
        <v>342</v>
      </c>
      <c r="O18" s="131" t="s">
        <v>328</v>
      </c>
      <c r="P18" s="140" t="s">
        <v>306</v>
      </c>
    </row>
    <row r="19" spans="1:16">
      <c r="A19" s="148" t="s">
        <v>284</v>
      </c>
      <c r="B19" s="141" t="s">
        <v>272</v>
      </c>
      <c r="C19" s="141" t="s">
        <v>287</v>
      </c>
      <c r="D19" s="133" t="s">
        <v>904</v>
      </c>
      <c r="K19" s="136" t="s">
        <v>725</v>
      </c>
      <c r="L19" s="136" t="s">
        <v>699</v>
      </c>
      <c r="M19" s="136" t="s">
        <v>650</v>
      </c>
      <c r="N19" s="131" t="s">
        <v>344</v>
      </c>
      <c r="O19" s="139" t="s">
        <v>330</v>
      </c>
      <c r="P19" s="140" t="s">
        <v>308</v>
      </c>
    </row>
    <row r="20" spans="1:16">
      <c r="A20" s="137" t="s">
        <v>286</v>
      </c>
      <c r="B20" s="144" t="s">
        <v>274</v>
      </c>
      <c r="C20" s="144" t="s">
        <v>289</v>
      </c>
      <c r="D20" s="133" t="str">
        <f>'Material Spec.'!A19</f>
        <v>CU1100</v>
      </c>
      <c r="K20" s="136" t="s">
        <v>719</v>
      </c>
      <c r="L20" s="136" t="s">
        <v>699</v>
      </c>
      <c r="M20" s="136" t="s">
        <v>652</v>
      </c>
      <c r="N20" s="151"/>
      <c r="O20" s="145" t="s">
        <v>332</v>
      </c>
      <c r="P20" s="139" t="s">
        <v>316</v>
      </c>
    </row>
    <row r="21" spans="1:16">
      <c r="A21" s="139" t="s">
        <v>288</v>
      </c>
      <c r="B21" s="144" t="s">
        <v>276</v>
      </c>
      <c r="C21" s="144" t="s">
        <v>291</v>
      </c>
      <c r="D21" s="92" t="s">
        <v>906</v>
      </c>
      <c r="K21" s="136" t="s">
        <v>720</v>
      </c>
      <c r="L21" s="136" t="s">
        <v>700</v>
      </c>
      <c r="M21" s="136" t="s">
        <v>651</v>
      </c>
      <c r="N21" s="151"/>
      <c r="O21" s="145" t="s">
        <v>334</v>
      </c>
      <c r="P21" s="143" t="s">
        <v>322</v>
      </c>
    </row>
    <row r="22" spans="1:16">
      <c r="A22" s="139" t="s">
        <v>290</v>
      </c>
      <c r="B22" s="144" t="s">
        <v>278</v>
      </c>
      <c r="C22" s="144" t="s">
        <v>293</v>
      </c>
      <c r="D22" s="133" t="str">
        <f>'Material Spec.'!A24</f>
        <v>KU400</v>
      </c>
      <c r="K22" s="136" t="s">
        <v>721</v>
      </c>
      <c r="L22" s="136" t="s">
        <v>701</v>
      </c>
      <c r="M22" s="136" t="s">
        <v>643</v>
      </c>
      <c r="N22" s="151"/>
      <c r="O22" s="150" t="s">
        <v>336</v>
      </c>
      <c r="P22" s="131" t="s">
        <v>340</v>
      </c>
    </row>
    <row r="23" spans="1:16">
      <c r="A23" s="140" t="s">
        <v>292</v>
      </c>
      <c r="B23" s="144" t="s">
        <v>280</v>
      </c>
      <c r="C23" s="144" t="s">
        <v>295</v>
      </c>
      <c r="K23" s="136" t="s">
        <v>722</v>
      </c>
      <c r="L23" s="136" t="s">
        <v>701</v>
      </c>
      <c r="M23" s="136" t="s">
        <v>648</v>
      </c>
      <c r="N23" s="151"/>
      <c r="O23" s="143" t="s">
        <v>338</v>
      </c>
      <c r="P23" s="131" t="s">
        <v>346</v>
      </c>
    </row>
    <row r="24" spans="1:16">
      <c r="A24" s="138" t="s">
        <v>294</v>
      </c>
      <c r="B24" s="146" t="s">
        <v>282</v>
      </c>
      <c r="C24" s="146" t="s">
        <v>297</v>
      </c>
      <c r="K24" s="136" t="s">
        <v>711</v>
      </c>
      <c r="L24" s="136" t="s">
        <v>701</v>
      </c>
      <c r="M24" s="136" t="s">
        <v>653</v>
      </c>
      <c r="N24" s="151"/>
      <c r="O24" s="131" t="s">
        <v>340</v>
      </c>
      <c r="P24" s="131" t="s">
        <v>348</v>
      </c>
    </row>
    <row r="25" spans="1:16">
      <c r="A25" s="145" t="s">
        <v>296</v>
      </c>
      <c r="B25" s="146" t="s">
        <v>282</v>
      </c>
      <c r="C25" s="146" t="s">
        <v>299</v>
      </c>
      <c r="L25" s="136" t="s">
        <v>702</v>
      </c>
      <c r="M25" s="136" t="s">
        <v>642</v>
      </c>
      <c r="N25" s="151"/>
      <c r="O25" s="131" t="s">
        <v>342</v>
      </c>
      <c r="P25" s="131" t="s">
        <v>248</v>
      </c>
    </row>
    <row r="26" spans="1:16">
      <c r="A26" s="149" t="s">
        <v>298</v>
      </c>
      <c r="B26" s="148" t="s">
        <v>284</v>
      </c>
      <c r="C26" s="148" t="s">
        <v>301</v>
      </c>
      <c r="L26" s="136" t="s">
        <v>702</v>
      </c>
      <c r="M26" s="136" t="s">
        <v>646</v>
      </c>
      <c r="N26" s="151"/>
      <c r="O26" s="131" t="s">
        <v>344</v>
      </c>
      <c r="P26" s="131" t="s">
        <v>352</v>
      </c>
    </row>
    <row r="27" spans="1:16">
      <c r="A27" s="147" t="s">
        <v>300</v>
      </c>
      <c r="B27" s="137" t="s">
        <v>286</v>
      </c>
      <c r="C27" s="137" t="s">
        <v>303</v>
      </c>
      <c r="L27" s="136" t="s">
        <v>702</v>
      </c>
      <c r="M27" s="136" t="s">
        <v>647</v>
      </c>
      <c r="N27" s="151"/>
      <c r="O27" s="152" t="s">
        <v>788</v>
      </c>
      <c r="P27" s="131" t="s">
        <v>354</v>
      </c>
    </row>
    <row r="28" spans="1:16">
      <c r="A28" s="139" t="s">
        <v>302</v>
      </c>
      <c r="B28" s="137" t="s">
        <v>286</v>
      </c>
      <c r="C28" s="137" t="s">
        <v>305</v>
      </c>
      <c r="L28" s="136" t="s">
        <v>702</v>
      </c>
      <c r="M28" s="136" t="s">
        <v>654</v>
      </c>
      <c r="N28" s="151"/>
      <c r="O28" s="152" t="s">
        <v>789</v>
      </c>
      <c r="P28" s="131" t="s">
        <v>356</v>
      </c>
    </row>
    <row r="29" spans="1:16">
      <c r="A29" s="140" t="s">
        <v>304</v>
      </c>
      <c r="B29" s="137" t="s">
        <v>286</v>
      </c>
      <c r="C29" s="137" t="s">
        <v>307</v>
      </c>
      <c r="L29" s="136" t="s">
        <v>703</v>
      </c>
      <c r="M29" s="136" t="s">
        <v>654</v>
      </c>
      <c r="N29" s="151"/>
      <c r="O29" s="152" t="s">
        <v>790</v>
      </c>
      <c r="P29" s="131" t="s">
        <v>358</v>
      </c>
    </row>
    <row r="30" spans="1:16">
      <c r="A30" s="140" t="s">
        <v>306</v>
      </c>
      <c r="B30" s="139" t="s">
        <v>288</v>
      </c>
      <c r="C30" s="139" t="s">
        <v>309</v>
      </c>
      <c r="L30" s="136" t="s">
        <v>716</v>
      </c>
      <c r="M30" s="136" t="s">
        <v>674</v>
      </c>
      <c r="N30" s="151"/>
      <c r="O30" s="152" t="s">
        <v>791</v>
      </c>
      <c r="P30" s="131" t="s">
        <v>360</v>
      </c>
    </row>
    <row r="31" spans="1:16">
      <c r="A31" s="140" t="s">
        <v>308</v>
      </c>
      <c r="B31" s="139" t="s">
        <v>290</v>
      </c>
      <c r="C31" s="139" t="s">
        <v>311</v>
      </c>
      <c r="L31" s="136" t="s">
        <v>716</v>
      </c>
      <c r="M31" s="136" t="s">
        <v>675</v>
      </c>
      <c r="N31" s="151"/>
      <c r="O31" s="152" t="s">
        <v>792</v>
      </c>
      <c r="P31" s="131" t="s">
        <v>368</v>
      </c>
    </row>
    <row r="32" spans="1:16">
      <c r="A32" s="142" t="s">
        <v>310</v>
      </c>
      <c r="B32" s="140" t="s">
        <v>292</v>
      </c>
      <c r="C32" s="140" t="s">
        <v>313</v>
      </c>
      <c r="L32" s="136" t="s">
        <v>716</v>
      </c>
      <c r="M32" s="136" t="s">
        <v>676</v>
      </c>
      <c r="N32" s="151"/>
      <c r="O32" s="152" t="s">
        <v>793</v>
      </c>
      <c r="P32" s="131" t="s">
        <v>370</v>
      </c>
    </row>
    <row r="33" spans="1:16">
      <c r="A33" s="137" t="s">
        <v>312</v>
      </c>
      <c r="B33" s="140" t="s">
        <v>292</v>
      </c>
      <c r="C33" s="140" t="s">
        <v>315</v>
      </c>
      <c r="L33" s="136" t="s">
        <v>716</v>
      </c>
      <c r="M33" s="136" t="s">
        <v>677</v>
      </c>
      <c r="N33" s="151"/>
      <c r="O33" s="152" t="s">
        <v>794</v>
      </c>
      <c r="P33" s="145" t="s">
        <v>372</v>
      </c>
    </row>
    <row r="34" spans="1:16">
      <c r="A34" s="137" t="s">
        <v>314</v>
      </c>
      <c r="B34" s="140" t="s">
        <v>292</v>
      </c>
      <c r="C34" s="140" t="s">
        <v>317</v>
      </c>
      <c r="L34" s="136" t="s">
        <v>716</v>
      </c>
      <c r="M34" s="136" t="s">
        <v>678</v>
      </c>
      <c r="N34" s="151"/>
      <c r="O34" s="152" t="s">
        <v>795</v>
      </c>
    </row>
    <row r="35" spans="1:16">
      <c r="A35" s="139" t="s">
        <v>316</v>
      </c>
      <c r="B35" s="140" t="s">
        <v>292</v>
      </c>
      <c r="C35" s="140" t="s">
        <v>319</v>
      </c>
      <c r="L35" s="136" t="s">
        <v>716</v>
      </c>
      <c r="M35" s="136" t="s">
        <v>679</v>
      </c>
      <c r="N35" s="151"/>
      <c r="O35" s="152" t="s">
        <v>796</v>
      </c>
    </row>
    <row r="36" spans="1:16">
      <c r="A36" s="145" t="s">
        <v>318</v>
      </c>
      <c r="B36" s="138" t="s">
        <v>294</v>
      </c>
      <c r="C36" s="138" t="s">
        <v>321</v>
      </c>
      <c r="L36" s="136" t="s">
        <v>716</v>
      </c>
      <c r="M36" s="136" t="s">
        <v>680</v>
      </c>
      <c r="O36" s="152" t="s">
        <v>797</v>
      </c>
    </row>
    <row r="37" spans="1:16">
      <c r="A37" s="140" t="s">
        <v>320</v>
      </c>
      <c r="B37" s="145" t="s">
        <v>296</v>
      </c>
      <c r="C37" s="145" t="s">
        <v>323</v>
      </c>
      <c r="L37" s="136" t="s">
        <v>716</v>
      </c>
      <c r="M37" s="136" t="s">
        <v>681</v>
      </c>
      <c r="O37" s="152" t="s">
        <v>798</v>
      </c>
    </row>
    <row r="38" spans="1:16">
      <c r="A38" s="143" t="s">
        <v>322</v>
      </c>
      <c r="B38" s="145" t="s">
        <v>296</v>
      </c>
      <c r="C38" s="145" t="s">
        <v>325</v>
      </c>
      <c r="L38" s="136" t="s">
        <v>717</v>
      </c>
      <c r="M38" s="136" t="s">
        <v>662</v>
      </c>
      <c r="O38" s="152" t="s">
        <v>799</v>
      </c>
    </row>
    <row r="39" spans="1:16">
      <c r="A39" s="147" t="s">
        <v>324</v>
      </c>
      <c r="B39" s="145" t="s">
        <v>296</v>
      </c>
      <c r="C39" s="145" t="s">
        <v>327</v>
      </c>
      <c r="L39" s="136" t="s">
        <v>717</v>
      </c>
      <c r="M39" s="136" t="s">
        <v>663</v>
      </c>
      <c r="O39" s="152" t="s">
        <v>800</v>
      </c>
    </row>
    <row r="40" spans="1:16">
      <c r="A40" s="144" t="s">
        <v>326</v>
      </c>
      <c r="B40" s="145" t="s">
        <v>296</v>
      </c>
      <c r="C40" s="145" t="s">
        <v>329</v>
      </c>
      <c r="L40" s="136" t="s">
        <v>717</v>
      </c>
      <c r="M40" s="136" t="s">
        <v>664</v>
      </c>
      <c r="O40" s="152" t="s">
        <v>801</v>
      </c>
    </row>
    <row r="41" spans="1:16">
      <c r="A41" s="131" t="s">
        <v>328</v>
      </c>
      <c r="B41" s="145" t="s">
        <v>296</v>
      </c>
      <c r="C41" s="145" t="s">
        <v>331</v>
      </c>
      <c r="L41" s="136" t="s">
        <v>717</v>
      </c>
      <c r="M41" s="136" t="s">
        <v>665</v>
      </c>
      <c r="O41" s="152" t="s">
        <v>802</v>
      </c>
    </row>
    <row r="42" spans="1:16">
      <c r="A42" s="139" t="s">
        <v>330</v>
      </c>
      <c r="B42" s="149" t="s">
        <v>298</v>
      </c>
      <c r="C42" s="149" t="s">
        <v>333</v>
      </c>
      <c r="L42" s="136" t="s">
        <v>717</v>
      </c>
      <c r="M42" s="136" t="s">
        <v>666</v>
      </c>
    </row>
    <row r="43" spans="1:16">
      <c r="A43" s="145" t="s">
        <v>332</v>
      </c>
      <c r="B43" s="147" t="s">
        <v>300</v>
      </c>
      <c r="C43" s="147" t="s">
        <v>335</v>
      </c>
      <c r="L43" s="136" t="s">
        <v>717</v>
      </c>
      <c r="M43" s="136" t="s">
        <v>667</v>
      </c>
    </row>
    <row r="44" spans="1:16">
      <c r="A44" s="145" t="s">
        <v>334</v>
      </c>
      <c r="B44" s="139" t="s">
        <v>302</v>
      </c>
      <c r="C44" s="139" t="s">
        <v>337</v>
      </c>
      <c r="L44" s="136" t="s">
        <v>717</v>
      </c>
      <c r="M44" s="136" t="s">
        <v>668</v>
      </c>
    </row>
    <row r="45" spans="1:16">
      <c r="A45" s="150" t="s">
        <v>336</v>
      </c>
      <c r="B45" s="139" t="s">
        <v>302</v>
      </c>
      <c r="C45" s="139" t="s">
        <v>339</v>
      </c>
      <c r="L45" s="136" t="s">
        <v>717</v>
      </c>
      <c r="M45" s="136" t="s">
        <v>669</v>
      </c>
    </row>
    <row r="46" spans="1:16">
      <c r="A46" s="143" t="s">
        <v>338</v>
      </c>
      <c r="B46" s="139" t="s">
        <v>302</v>
      </c>
      <c r="C46" s="139" t="s">
        <v>341</v>
      </c>
      <c r="L46" s="136" t="s">
        <v>717</v>
      </c>
      <c r="M46" s="136" t="s">
        <v>670</v>
      </c>
    </row>
    <row r="47" spans="1:16">
      <c r="A47" s="131" t="s">
        <v>340</v>
      </c>
      <c r="B47" s="139" t="s">
        <v>302</v>
      </c>
      <c r="C47" s="139" t="s">
        <v>343</v>
      </c>
      <c r="L47" s="136" t="s">
        <v>704</v>
      </c>
      <c r="M47" s="136" t="s">
        <v>655</v>
      </c>
    </row>
    <row r="48" spans="1:16">
      <c r="A48" s="131" t="s">
        <v>342</v>
      </c>
      <c r="B48" s="140" t="s">
        <v>304</v>
      </c>
      <c r="C48" s="140" t="s">
        <v>345</v>
      </c>
      <c r="L48" s="136" t="s">
        <v>704</v>
      </c>
      <c r="M48" s="136" t="s">
        <v>656</v>
      </c>
    </row>
    <row r="49" spans="1:13">
      <c r="A49" s="131" t="s">
        <v>344</v>
      </c>
      <c r="B49" s="140" t="s">
        <v>306</v>
      </c>
      <c r="C49" s="140" t="s">
        <v>347</v>
      </c>
      <c r="L49" s="136" t="s">
        <v>704</v>
      </c>
      <c r="M49" s="136" t="s">
        <v>657</v>
      </c>
    </row>
    <row r="50" spans="1:13">
      <c r="A50" s="131" t="s">
        <v>346</v>
      </c>
      <c r="B50" s="140" t="s">
        <v>308</v>
      </c>
      <c r="C50" s="140" t="s">
        <v>349</v>
      </c>
      <c r="L50" s="136" t="s">
        <v>704</v>
      </c>
      <c r="M50" s="136" t="s">
        <v>658</v>
      </c>
    </row>
    <row r="51" spans="1:13">
      <c r="A51" s="131" t="s">
        <v>348</v>
      </c>
      <c r="B51" s="142" t="s">
        <v>310</v>
      </c>
      <c r="C51" s="142" t="s">
        <v>350</v>
      </c>
      <c r="L51" s="136" t="s">
        <v>704</v>
      </c>
      <c r="M51" s="136" t="s">
        <v>659</v>
      </c>
    </row>
    <row r="52" spans="1:13">
      <c r="A52" s="131" t="s">
        <v>248</v>
      </c>
      <c r="B52" s="142" t="s">
        <v>310</v>
      </c>
      <c r="C52" s="142" t="s">
        <v>351</v>
      </c>
      <c r="L52" s="136" t="s">
        <v>704</v>
      </c>
      <c r="M52" s="136" t="s">
        <v>660</v>
      </c>
    </row>
    <row r="53" spans="1:13">
      <c r="A53" s="153" t="s">
        <v>250</v>
      </c>
      <c r="B53" s="142" t="s">
        <v>310</v>
      </c>
      <c r="C53" s="142" t="s">
        <v>353</v>
      </c>
      <c r="L53" s="136" t="s">
        <v>704</v>
      </c>
      <c r="M53" s="136" t="s">
        <v>661</v>
      </c>
    </row>
    <row r="54" spans="1:13">
      <c r="A54" s="131" t="s">
        <v>352</v>
      </c>
      <c r="B54" s="142" t="s">
        <v>310</v>
      </c>
      <c r="C54" s="142" t="s">
        <v>355</v>
      </c>
      <c r="L54" s="136" t="s">
        <v>705</v>
      </c>
      <c r="M54" s="136" t="s">
        <v>671</v>
      </c>
    </row>
    <row r="55" spans="1:13">
      <c r="A55" s="131" t="s">
        <v>354</v>
      </c>
      <c r="B55" s="142" t="s">
        <v>310</v>
      </c>
      <c r="C55" s="142" t="s">
        <v>357</v>
      </c>
      <c r="L55" s="136" t="s">
        <v>723</v>
      </c>
      <c r="M55" s="136" t="s">
        <v>672</v>
      </c>
    </row>
    <row r="56" spans="1:13">
      <c r="A56" s="131" t="s">
        <v>356</v>
      </c>
      <c r="B56" s="142" t="s">
        <v>310</v>
      </c>
      <c r="C56" s="142" t="s">
        <v>359</v>
      </c>
      <c r="L56" s="136" t="s">
        <v>724</v>
      </c>
      <c r="M56" s="136" t="s">
        <v>673</v>
      </c>
    </row>
    <row r="57" spans="1:13">
      <c r="A57" s="131" t="s">
        <v>358</v>
      </c>
      <c r="B57" s="142" t="s">
        <v>310</v>
      </c>
      <c r="C57" s="142" t="s">
        <v>361</v>
      </c>
      <c r="L57" s="136" t="s">
        <v>718</v>
      </c>
      <c r="M57" s="136" t="s">
        <v>682</v>
      </c>
    </row>
    <row r="58" spans="1:13">
      <c r="A58" s="131" t="s">
        <v>360</v>
      </c>
      <c r="B58" s="142" t="s">
        <v>310</v>
      </c>
      <c r="C58" s="142" t="s">
        <v>362</v>
      </c>
      <c r="L58" s="136" t="s">
        <v>725</v>
      </c>
      <c r="M58" s="136" t="s">
        <v>683</v>
      </c>
    </row>
    <row r="59" spans="1:13">
      <c r="A59" s="141" t="s">
        <v>253</v>
      </c>
      <c r="B59" s="142" t="s">
        <v>310</v>
      </c>
      <c r="C59" s="142" t="s">
        <v>363</v>
      </c>
      <c r="L59" s="136" t="s">
        <v>719</v>
      </c>
      <c r="M59" s="136" t="s">
        <v>684</v>
      </c>
    </row>
    <row r="60" spans="1:13">
      <c r="A60" s="147" t="s">
        <v>245</v>
      </c>
      <c r="B60" s="142" t="s">
        <v>310</v>
      </c>
      <c r="C60" s="142" t="s">
        <v>365</v>
      </c>
      <c r="L60" s="136" t="s">
        <v>719</v>
      </c>
      <c r="M60" s="136" t="s">
        <v>685</v>
      </c>
    </row>
    <row r="61" spans="1:13">
      <c r="A61" s="154" t="s">
        <v>364</v>
      </c>
      <c r="B61" s="142" t="s">
        <v>310</v>
      </c>
      <c r="C61" s="142" t="s">
        <v>367</v>
      </c>
      <c r="L61" s="136" t="s">
        <v>719</v>
      </c>
      <c r="M61" s="136" t="s">
        <v>686</v>
      </c>
    </row>
    <row r="62" spans="1:13">
      <c r="A62" s="140" t="s">
        <v>366</v>
      </c>
      <c r="B62" s="142" t="s">
        <v>310</v>
      </c>
      <c r="C62" s="142" t="s">
        <v>369</v>
      </c>
      <c r="L62" s="136" t="s">
        <v>720</v>
      </c>
      <c r="M62" s="136" t="s">
        <v>687</v>
      </c>
    </row>
    <row r="63" spans="1:13">
      <c r="A63" s="131" t="s">
        <v>368</v>
      </c>
      <c r="B63" s="137" t="s">
        <v>312</v>
      </c>
      <c r="C63" s="137" t="s">
        <v>371</v>
      </c>
      <c r="L63" s="136" t="s">
        <v>721</v>
      </c>
      <c r="M63" s="136" t="s">
        <v>688</v>
      </c>
    </row>
    <row r="64" spans="1:13">
      <c r="A64" s="131" t="s">
        <v>370</v>
      </c>
      <c r="B64" s="137" t="s">
        <v>312</v>
      </c>
      <c r="C64" s="137" t="s">
        <v>373</v>
      </c>
      <c r="L64" s="136" t="s">
        <v>722</v>
      </c>
      <c r="M64" s="136" t="s">
        <v>689</v>
      </c>
    </row>
    <row r="65" spans="1:3">
      <c r="A65" s="145" t="s">
        <v>372</v>
      </c>
      <c r="B65" s="137" t="s">
        <v>314</v>
      </c>
      <c r="C65" s="137" t="s">
        <v>374</v>
      </c>
    </row>
    <row r="66" spans="1:3">
      <c r="A66" s="135" t="s">
        <v>695</v>
      </c>
      <c r="B66" s="139" t="s">
        <v>316</v>
      </c>
      <c r="C66" s="139" t="s">
        <v>375</v>
      </c>
    </row>
    <row r="67" spans="1:3">
      <c r="A67" s="136" t="s">
        <v>715</v>
      </c>
      <c r="B67" s="139" t="s">
        <v>316</v>
      </c>
      <c r="C67" s="139" t="s">
        <v>376</v>
      </c>
    </row>
    <row r="68" spans="1:3">
      <c r="A68" s="136" t="s">
        <v>696</v>
      </c>
      <c r="B68" s="145" t="s">
        <v>318</v>
      </c>
      <c r="C68" s="145" t="s">
        <v>377</v>
      </c>
    </row>
    <row r="69" spans="1:3">
      <c r="A69" s="136" t="s">
        <v>697</v>
      </c>
      <c r="B69" s="145" t="s">
        <v>318</v>
      </c>
      <c r="C69" s="145" t="s">
        <v>378</v>
      </c>
    </row>
    <row r="70" spans="1:3">
      <c r="A70" s="136" t="s">
        <v>698</v>
      </c>
      <c r="B70" s="140" t="s">
        <v>320</v>
      </c>
      <c r="C70" s="140" t="s">
        <v>379</v>
      </c>
    </row>
    <row r="71" spans="1:3">
      <c r="A71" s="136" t="s">
        <v>699</v>
      </c>
      <c r="B71" s="140" t="s">
        <v>320</v>
      </c>
      <c r="C71" s="140" t="s">
        <v>380</v>
      </c>
    </row>
    <row r="72" spans="1:3">
      <c r="A72" s="136" t="s">
        <v>700</v>
      </c>
      <c r="B72" s="140" t="s">
        <v>320</v>
      </c>
      <c r="C72" s="140" t="s">
        <v>381</v>
      </c>
    </row>
    <row r="73" spans="1:3">
      <c r="A73" s="136" t="s">
        <v>701</v>
      </c>
      <c r="B73" s="140" t="s">
        <v>320</v>
      </c>
      <c r="C73" s="155" t="s">
        <v>382</v>
      </c>
    </row>
    <row r="74" spans="1:3">
      <c r="A74" s="136" t="s">
        <v>702</v>
      </c>
      <c r="B74" s="140" t="s">
        <v>320</v>
      </c>
      <c r="C74" s="140" t="s">
        <v>383</v>
      </c>
    </row>
    <row r="75" spans="1:3">
      <c r="A75" s="136" t="s">
        <v>703</v>
      </c>
      <c r="B75" s="140" t="s">
        <v>320</v>
      </c>
      <c r="C75" s="140" t="s">
        <v>384</v>
      </c>
    </row>
    <row r="76" spans="1:3">
      <c r="A76" s="136" t="s">
        <v>716</v>
      </c>
      <c r="B76" s="140" t="s">
        <v>320</v>
      </c>
      <c r="C76" s="140" t="s">
        <v>385</v>
      </c>
    </row>
    <row r="77" spans="1:3">
      <c r="A77" s="136" t="s">
        <v>717</v>
      </c>
      <c r="B77" s="140" t="s">
        <v>320</v>
      </c>
      <c r="C77" s="140" t="s">
        <v>386</v>
      </c>
    </row>
    <row r="78" spans="1:3">
      <c r="A78" s="136" t="s">
        <v>704</v>
      </c>
      <c r="B78" s="140" t="s">
        <v>320</v>
      </c>
      <c r="C78" s="140" t="s">
        <v>387</v>
      </c>
    </row>
    <row r="79" spans="1:3">
      <c r="A79" s="136" t="s">
        <v>705</v>
      </c>
      <c r="B79" s="143" t="s">
        <v>322</v>
      </c>
      <c r="C79" s="143" t="s">
        <v>388</v>
      </c>
    </row>
    <row r="80" spans="1:3">
      <c r="A80" s="136" t="s">
        <v>723</v>
      </c>
      <c r="B80" s="143" t="s">
        <v>322</v>
      </c>
      <c r="C80" s="143" t="s">
        <v>389</v>
      </c>
    </row>
    <row r="81" spans="1:3">
      <c r="A81" s="136" t="s">
        <v>724</v>
      </c>
      <c r="B81" s="147" t="s">
        <v>324</v>
      </c>
      <c r="C81" s="147" t="s">
        <v>390</v>
      </c>
    </row>
    <row r="82" spans="1:3">
      <c r="A82" s="136" t="s">
        <v>718</v>
      </c>
      <c r="B82" s="144" t="s">
        <v>326</v>
      </c>
      <c r="C82" s="144" t="s">
        <v>391</v>
      </c>
    </row>
    <row r="83" spans="1:3">
      <c r="A83" s="136" t="s">
        <v>725</v>
      </c>
      <c r="B83" s="144" t="s">
        <v>326</v>
      </c>
      <c r="C83" s="144" t="s">
        <v>392</v>
      </c>
    </row>
    <row r="84" spans="1:3">
      <c r="A84" s="136" t="s">
        <v>719</v>
      </c>
      <c r="B84" s="144" t="s">
        <v>326</v>
      </c>
      <c r="C84" s="144" t="s">
        <v>393</v>
      </c>
    </row>
    <row r="85" spans="1:3">
      <c r="A85" s="136" t="s">
        <v>720</v>
      </c>
      <c r="B85" s="144" t="s">
        <v>326</v>
      </c>
      <c r="C85" s="144" t="s">
        <v>394</v>
      </c>
    </row>
    <row r="86" spans="1:3">
      <c r="A86" s="136" t="s">
        <v>721</v>
      </c>
      <c r="B86" s="131" t="s">
        <v>328</v>
      </c>
      <c r="C86" s="131" t="s">
        <v>395</v>
      </c>
    </row>
    <row r="87" spans="1:3">
      <c r="A87" s="136" t="s">
        <v>722</v>
      </c>
      <c r="B87" s="139" t="s">
        <v>330</v>
      </c>
      <c r="C87" s="139" t="s">
        <v>396</v>
      </c>
    </row>
    <row r="88" spans="1:3">
      <c r="A88" s="136" t="s">
        <v>549</v>
      </c>
      <c r="B88" s="139" t="s">
        <v>330</v>
      </c>
      <c r="C88" s="139" t="s">
        <v>397</v>
      </c>
    </row>
    <row r="89" spans="1:3">
      <c r="B89" s="145" t="s">
        <v>332</v>
      </c>
      <c r="C89" s="145" t="s">
        <v>398</v>
      </c>
    </row>
    <row r="90" spans="1:3">
      <c r="B90" s="145" t="s">
        <v>334</v>
      </c>
      <c r="C90" s="145" t="s">
        <v>399</v>
      </c>
    </row>
    <row r="91" spans="1:3">
      <c r="B91" s="150" t="s">
        <v>336</v>
      </c>
      <c r="C91" s="150" t="s">
        <v>400</v>
      </c>
    </row>
    <row r="92" spans="1:3">
      <c r="B92" s="143" t="s">
        <v>338</v>
      </c>
      <c r="C92" s="143" t="s">
        <v>401</v>
      </c>
    </row>
    <row r="93" spans="1:3">
      <c r="B93" s="143" t="s">
        <v>338</v>
      </c>
      <c r="C93" s="143" t="s">
        <v>402</v>
      </c>
    </row>
    <row r="94" spans="1:3">
      <c r="B94" s="143" t="s">
        <v>338</v>
      </c>
      <c r="C94" s="143" t="s">
        <v>403</v>
      </c>
    </row>
    <row r="95" spans="1:3">
      <c r="B95" s="143" t="s">
        <v>338</v>
      </c>
      <c r="C95" s="143" t="s">
        <v>404</v>
      </c>
    </row>
    <row r="96" spans="1:3">
      <c r="B96" s="143" t="s">
        <v>338</v>
      </c>
      <c r="C96" s="143" t="s">
        <v>405</v>
      </c>
    </row>
    <row r="97" spans="2:3">
      <c r="B97" s="143" t="s">
        <v>338</v>
      </c>
      <c r="C97" s="143" t="s">
        <v>406</v>
      </c>
    </row>
    <row r="98" spans="2:3">
      <c r="B98" s="143" t="s">
        <v>338</v>
      </c>
      <c r="C98" s="143" t="s">
        <v>407</v>
      </c>
    </row>
    <row r="99" spans="2:3">
      <c r="B99" s="131" t="s">
        <v>340</v>
      </c>
      <c r="C99" s="131" t="s">
        <v>408</v>
      </c>
    </row>
    <row r="100" spans="2:3">
      <c r="B100" s="131" t="s">
        <v>342</v>
      </c>
      <c r="C100" s="131" t="s">
        <v>409</v>
      </c>
    </row>
    <row r="101" spans="2:3">
      <c r="B101" s="131" t="s">
        <v>344</v>
      </c>
      <c r="C101" s="131" t="s">
        <v>410</v>
      </c>
    </row>
    <row r="102" spans="2:3">
      <c r="B102" s="131" t="s">
        <v>346</v>
      </c>
      <c r="C102" s="131" t="s">
        <v>411</v>
      </c>
    </row>
    <row r="103" spans="2:3">
      <c r="B103" s="131" t="s">
        <v>348</v>
      </c>
      <c r="C103" s="131" t="s">
        <v>412</v>
      </c>
    </row>
    <row r="104" spans="2:3">
      <c r="B104" s="131" t="s">
        <v>248</v>
      </c>
      <c r="C104" s="131" t="s">
        <v>413</v>
      </c>
    </row>
    <row r="105" spans="2:3">
      <c r="B105" s="153" t="s">
        <v>250</v>
      </c>
      <c r="C105" s="153" t="s">
        <v>414</v>
      </c>
    </row>
    <row r="106" spans="2:3">
      <c r="B106" s="153" t="s">
        <v>250</v>
      </c>
      <c r="C106" s="153" t="s">
        <v>415</v>
      </c>
    </row>
    <row r="107" spans="2:3">
      <c r="B107" s="131" t="s">
        <v>352</v>
      </c>
      <c r="C107" s="131" t="s">
        <v>416</v>
      </c>
    </row>
    <row r="108" spans="2:3">
      <c r="B108" s="131" t="s">
        <v>354</v>
      </c>
      <c r="C108" s="131" t="s">
        <v>417</v>
      </c>
    </row>
    <row r="109" spans="2:3">
      <c r="B109" s="131" t="s">
        <v>356</v>
      </c>
      <c r="C109" s="131" t="s">
        <v>418</v>
      </c>
    </row>
    <row r="110" spans="2:3">
      <c r="B110" s="131" t="s">
        <v>358</v>
      </c>
      <c r="C110" s="131" t="s">
        <v>419</v>
      </c>
    </row>
    <row r="111" spans="2:3">
      <c r="B111" s="131" t="s">
        <v>358</v>
      </c>
      <c r="C111" s="131" t="s">
        <v>420</v>
      </c>
    </row>
    <row r="112" spans="2:3">
      <c r="B112" s="131" t="s">
        <v>360</v>
      </c>
      <c r="C112" s="131" t="s">
        <v>421</v>
      </c>
    </row>
    <row r="113" spans="2:3">
      <c r="B113" s="141" t="s">
        <v>253</v>
      </c>
      <c r="C113" s="141" t="s">
        <v>771</v>
      </c>
    </row>
    <row r="114" spans="2:3">
      <c r="B114" s="141" t="s">
        <v>253</v>
      </c>
      <c r="C114" s="141" t="s">
        <v>772</v>
      </c>
    </row>
    <row r="115" spans="2:3">
      <c r="B115" s="141" t="s">
        <v>253</v>
      </c>
      <c r="C115" s="141" t="s">
        <v>773</v>
      </c>
    </row>
    <row r="116" spans="2:3">
      <c r="B116" s="141" t="s">
        <v>253</v>
      </c>
      <c r="C116" s="141" t="s">
        <v>774</v>
      </c>
    </row>
    <row r="117" spans="2:3">
      <c r="B117" s="141" t="s">
        <v>253</v>
      </c>
      <c r="C117" s="141" t="s">
        <v>775</v>
      </c>
    </row>
    <row r="118" spans="2:3">
      <c r="B118" s="147" t="s">
        <v>245</v>
      </c>
      <c r="C118" s="147" t="s">
        <v>422</v>
      </c>
    </row>
    <row r="119" spans="2:3">
      <c r="B119" s="147" t="s">
        <v>245</v>
      </c>
      <c r="C119" s="147" t="s">
        <v>423</v>
      </c>
    </row>
    <row r="120" spans="2:3">
      <c r="B120" s="147" t="s">
        <v>245</v>
      </c>
      <c r="C120" s="147" t="s">
        <v>424</v>
      </c>
    </row>
    <row r="121" spans="2:3">
      <c r="B121" s="147" t="s">
        <v>245</v>
      </c>
      <c r="C121" s="147" t="s">
        <v>425</v>
      </c>
    </row>
    <row r="122" spans="2:3">
      <c r="B122" s="147" t="s">
        <v>245</v>
      </c>
      <c r="C122" s="147" t="s">
        <v>426</v>
      </c>
    </row>
    <row r="123" spans="2:3">
      <c r="B123" s="147" t="s">
        <v>245</v>
      </c>
      <c r="C123" s="147" t="s">
        <v>427</v>
      </c>
    </row>
    <row r="124" spans="2:3">
      <c r="B124" s="147" t="s">
        <v>245</v>
      </c>
      <c r="C124" s="147" t="s">
        <v>428</v>
      </c>
    </row>
    <row r="125" spans="2:3">
      <c r="B125" s="147" t="s">
        <v>245</v>
      </c>
      <c r="C125" s="147" t="s">
        <v>429</v>
      </c>
    </row>
    <row r="126" spans="2:3">
      <c r="B126" s="147" t="s">
        <v>245</v>
      </c>
      <c r="C126" s="147" t="s">
        <v>430</v>
      </c>
    </row>
    <row r="127" spans="2:3">
      <c r="B127" s="147" t="s">
        <v>245</v>
      </c>
      <c r="C127" s="147" t="s">
        <v>431</v>
      </c>
    </row>
    <row r="128" spans="2:3">
      <c r="B128" s="154" t="s">
        <v>364</v>
      </c>
      <c r="C128" s="154" t="s">
        <v>432</v>
      </c>
    </row>
    <row r="129" spans="2:3">
      <c r="B129" s="140" t="s">
        <v>366</v>
      </c>
      <c r="C129" s="140" t="s">
        <v>433</v>
      </c>
    </row>
    <row r="130" spans="2:3">
      <c r="B130" s="140" t="s">
        <v>366</v>
      </c>
      <c r="C130" s="140" t="s">
        <v>434</v>
      </c>
    </row>
    <row r="131" spans="2:3">
      <c r="B131" s="131" t="s">
        <v>368</v>
      </c>
      <c r="C131" s="131" t="s">
        <v>435</v>
      </c>
    </row>
    <row r="132" spans="2:3">
      <c r="B132" s="131" t="s">
        <v>370</v>
      </c>
      <c r="C132" s="131" t="s">
        <v>436</v>
      </c>
    </row>
    <row r="133" spans="2:3">
      <c r="B133" s="145" t="s">
        <v>372</v>
      </c>
      <c r="C133" s="145" t="s">
        <v>437</v>
      </c>
    </row>
    <row r="134" spans="2:3">
      <c r="B134" s="145" t="s">
        <v>372</v>
      </c>
      <c r="C134" s="145" t="s">
        <v>438</v>
      </c>
    </row>
    <row r="135" spans="2:3">
      <c r="B135" s="145" t="s">
        <v>372</v>
      </c>
      <c r="C135" s="145" t="s">
        <v>439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topLeftCell="B1" zoomScale="80" zoomScaleNormal="80" workbookViewId="0">
      <selection activeCell="D2" sqref="D2"/>
    </sheetView>
  </sheetViews>
  <sheetFormatPr defaultColWidth="8.88671875" defaultRowHeight="16.8"/>
  <cols>
    <col min="1" max="1" width="22.21875" style="57" bestFit="1" customWidth="1"/>
    <col min="2" max="2" width="43.77734375" style="57" bestFit="1" customWidth="1"/>
    <col min="3" max="3" width="45.21875" style="57" bestFit="1" customWidth="1"/>
    <col min="4" max="4" width="25.77734375" style="57" bestFit="1" customWidth="1"/>
    <col min="5" max="5" width="43.44140625" style="57" bestFit="1" customWidth="1"/>
    <col min="6" max="6" width="21.33203125" style="57" bestFit="1" customWidth="1"/>
    <col min="7" max="7" width="14.77734375" style="57" bestFit="1" customWidth="1"/>
    <col min="8" max="8" width="28.21875" style="57" bestFit="1" customWidth="1"/>
    <col min="9" max="9" width="24.109375" style="57" bestFit="1" customWidth="1"/>
    <col min="10" max="10" width="8.88671875" style="57"/>
    <col min="11" max="11" width="9" style="57" bestFit="1" customWidth="1"/>
    <col min="12" max="12" width="26.44140625" style="57" bestFit="1" customWidth="1"/>
    <col min="13" max="13" width="35.6640625" style="57" bestFit="1" customWidth="1"/>
    <col min="14" max="14" width="8.109375" style="57" bestFit="1" customWidth="1"/>
    <col min="15" max="15" width="13.33203125" style="67" bestFit="1" customWidth="1"/>
    <col min="16" max="16" width="8.88671875" style="57"/>
    <col min="17" max="17" width="25.33203125" style="57" bestFit="1" customWidth="1"/>
    <col min="18" max="18" width="8.88671875" style="57"/>
    <col min="19" max="19" width="9.6640625" style="57" bestFit="1" customWidth="1"/>
    <col min="20" max="21" width="11.77734375" style="57" customWidth="1"/>
    <col min="22" max="23" width="5.21875" style="57" bestFit="1" customWidth="1"/>
    <col min="24" max="24" width="11.109375" style="57" customWidth="1"/>
    <col min="25" max="25" width="2.109375" style="57" customWidth="1"/>
    <col min="26" max="26" width="10.33203125" style="70" customWidth="1"/>
    <col min="27" max="27" width="19.6640625" style="70" customWidth="1"/>
    <col min="28" max="28" width="8.88671875" style="70"/>
    <col min="29" max="29" width="8.88671875" style="57"/>
    <col min="30" max="30" width="20.21875" style="57" customWidth="1"/>
    <col min="31" max="31" width="12.21875" style="70" customWidth="1"/>
    <col min="32" max="16384" width="8.88671875" style="57"/>
  </cols>
  <sheetData>
    <row r="1" spans="1:31" ht="30.6" thickBot="1">
      <c r="H1" s="97" t="s">
        <v>120</v>
      </c>
      <c r="K1" s="310" t="s">
        <v>174</v>
      </c>
      <c r="L1" s="310"/>
      <c r="M1" s="308"/>
      <c r="N1" s="97"/>
      <c r="O1" s="98"/>
      <c r="S1" s="99" t="s">
        <v>187</v>
      </c>
      <c r="T1" s="99"/>
      <c r="U1" s="99"/>
      <c r="V1" s="99"/>
      <c r="W1" s="99"/>
      <c r="X1" s="99"/>
      <c r="Z1" s="97" t="s">
        <v>507</v>
      </c>
      <c r="AA1" s="97" t="s">
        <v>514</v>
      </c>
      <c r="AB1" s="112" t="s">
        <v>878</v>
      </c>
      <c r="AC1" s="112" t="s">
        <v>881</v>
      </c>
      <c r="AD1" s="100" t="s">
        <v>885</v>
      </c>
      <c r="AE1" s="58"/>
    </row>
    <row r="2" spans="1:31" ht="27" customHeight="1" thickBot="1">
      <c r="A2" s="100" t="s">
        <v>461</v>
      </c>
      <c r="B2" s="97" t="s">
        <v>463</v>
      </c>
      <c r="C2" s="101" t="s">
        <v>755</v>
      </c>
      <c r="D2" s="97" t="s">
        <v>855</v>
      </c>
      <c r="E2" s="102" t="s">
        <v>856</v>
      </c>
      <c r="F2" s="58" t="s">
        <v>152</v>
      </c>
      <c r="G2" s="59" t="s">
        <v>208</v>
      </c>
      <c r="H2" s="97" t="s">
        <v>511</v>
      </c>
      <c r="I2" s="97" t="s">
        <v>121</v>
      </c>
      <c r="K2" s="60" t="s">
        <v>101</v>
      </c>
      <c r="L2" s="61" t="s">
        <v>102</v>
      </c>
      <c r="M2" s="61" t="s">
        <v>103</v>
      </c>
      <c r="N2" s="61" t="s">
        <v>210</v>
      </c>
      <c r="O2" s="62" t="s">
        <v>255</v>
      </c>
      <c r="Q2" s="97" t="s">
        <v>161</v>
      </c>
      <c r="S2" s="308" t="s">
        <v>175</v>
      </c>
      <c r="T2" s="103" t="s">
        <v>504</v>
      </c>
      <c r="U2" s="104"/>
      <c r="V2" s="99" t="s">
        <v>505</v>
      </c>
      <c r="W2" s="99"/>
      <c r="X2" s="308" t="s">
        <v>506</v>
      </c>
      <c r="Z2" s="58">
        <v>2</v>
      </c>
      <c r="AA2" s="63" t="s">
        <v>846</v>
      </c>
      <c r="AB2" s="58" t="s">
        <v>879</v>
      </c>
      <c r="AC2" s="16" t="s">
        <v>824</v>
      </c>
      <c r="AD2" s="156" t="s">
        <v>889</v>
      </c>
      <c r="AE2" s="58" t="s">
        <v>935</v>
      </c>
    </row>
    <row r="3" spans="1:31" ht="16.2" customHeight="1">
      <c r="A3" s="64" t="s">
        <v>99</v>
      </c>
      <c r="B3" s="66" t="s">
        <v>503</v>
      </c>
      <c r="C3" s="96" t="s">
        <v>0</v>
      </c>
      <c r="D3" s="66" t="s">
        <v>1</v>
      </c>
      <c r="E3" s="66" t="s">
        <v>2</v>
      </c>
      <c r="F3" s="311" t="s">
        <v>1</v>
      </c>
      <c r="G3" s="59" t="s">
        <v>209</v>
      </c>
      <c r="H3" s="66" t="s">
        <v>226</v>
      </c>
      <c r="I3" s="59" t="s">
        <v>509</v>
      </c>
      <c r="K3" s="60">
        <v>1</v>
      </c>
      <c r="L3" s="105" t="s">
        <v>104</v>
      </c>
      <c r="M3" s="61"/>
      <c r="N3" s="59" t="s">
        <v>262</v>
      </c>
      <c r="O3" s="59" t="s">
        <v>256</v>
      </c>
      <c r="Q3" s="53" t="s">
        <v>169</v>
      </c>
      <c r="S3" s="309"/>
      <c r="T3" s="97" t="s">
        <v>188</v>
      </c>
      <c r="U3" s="97" t="s">
        <v>189</v>
      </c>
      <c r="V3" s="99"/>
      <c r="W3" s="99"/>
      <c r="X3" s="309"/>
      <c r="Z3" s="58">
        <v>3</v>
      </c>
      <c r="AA3" s="63" t="s">
        <v>847</v>
      </c>
      <c r="AB3" s="58" t="s">
        <v>880</v>
      </c>
      <c r="AC3" s="16" t="s">
        <v>827</v>
      </c>
      <c r="AD3" s="156" t="s">
        <v>888</v>
      </c>
      <c r="AE3" s="58" t="s">
        <v>924</v>
      </c>
    </row>
    <row r="4" spans="1:31" ht="16.2" customHeight="1">
      <c r="A4" s="64" t="s">
        <v>850</v>
      </c>
      <c r="B4" s="66" t="s">
        <v>502</v>
      </c>
      <c r="C4" s="96" t="s">
        <v>3</v>
      </c>
      <c r="D4" s="66" t="s">
        <v>759</v>
      </c>
      <c r="E4" s="66" t="s">
        <v>4</v>
      </c>
      <c r="F4" s="312"/>
      <c r="H4" s="66" t="s">
        <v>227</v>
      </c>
      <c r="I4" s="59" t="s">
        <v>512</v>
      </c>
      <c r="K4" s="60">
        <v>2</v>
      </c>
      <c r="L4" s="105" t="s">
        <v>113</v>
      </c>
      <c r="M4" s="61"/>
      <c r="N4" s="59" t="s">
        <v>262</v>
      </c>
      <c r="O4" s="59" t="s">
        <v>257</v>
      </c>
      <c r="Q4" s="53" t="s">
        <v>171</v>
      </c>
      <c r="S4" s="53" t="s">
        <v>176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848</v>
      </c>
      <c r="AC4" s="16" t="s">
        <v>829</v>
      </c>
      <c r="AD4" s="156" t="s">
        <v>887</v>
      </c>
      <c r="AE4" s="58" t="s">
        <v>925</v>
      </c>
    </row>
    <row r="5" spans="1:31" ht="16.2" customHeight="1">
      <c r="A5" s="64" t="s">
        <v>206</v>
      </c>
      <c r="B5" s="66" t="s">
        <v>501</v>
      </c>
      <c r="C5" s="96" t="s">
        <v>5</v>
      </c>
      <c r="D5" s="66" t="s">
        <v>6</v>
      </c>
      <c r="E5" s="72" t="s">
        <v>1371</v>
      </c>
      <c r="F5" s="312"/>
      <c r="H5" s="66" t="s">
        <v>228</v>
      </c>
      <c r="I5" s="59" t="s">
        <v>513</v>
      </c>
      <c r="K5" s="60">
        <v>3</v>
      </c>
      <c r="L5" s="106" t="s">
        <v>105</v>
      </c>
      <c r="M5" s="61" t="s">
        <v>106</v>
      </c>
      <c r="N5" s="59" t="s">
        <v>262</v>
      </c>
      <c r="O5" s="59" t="s">
        <v>258</v>
      </c>
      <c r="Q5" s="53" t="s">
        <v>168</v>
      </c>
      <c r="S5" s="53" t="s">
        <v>177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830</v>
      </c>
      <c r="AD5" s="156" t="s">
        <v>886</v>
      </c>
      <c r="AE5" s="58" t="s">
        <v>926</v>
      </c>
    </row>
    <row r="6" spans="1:31" ht="16.2" customHeight="1" thickBot="1">
      <c r="A6" s="64" t="s">
        <v>462</v>
      </c>
      <c r="B6" s="66" t="s">
        <v>500</v>
      </c>
      <c r="C6" s="96" t="s">
        <v>7</v>
      </c>
      <c r="D6" s="72" t="s">
        <v>944</v>
      </c>
      <c r="E6" s="72" t="s">
        <v>1177</v>
      </c>
      <c r="F6" s="312"/>
      <c r="H6" s="66" t="s">
        <v>229</v>
      </c>
      <c r="I6" s="66" t="s">
        <v>714</v>
      </c>
      <c r="K6" s="60">
        <v>4</v>
      </c>
      <c r="L6" s="106" t="s">
        <v>107</v>
      </c>
      <c r="M6" s="61" t="s">
        <v>108</v>
      </c>
      <c r="N6" s="59" t="s">
        <v>262</v>
      </c>
      <c r="O6" s="59" t="s">
        <v>257</v>
      </c>
      <c r="Q6" s="53" t="s">
        <v>170</v>
      </c>
      <c r="S6" s="53" t="s">
        <v>178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833</v>
      </c>
      <c r="AE6" s="58" t="s">
        <v>927</v>
      </c>
    </row>
    <row r="7" spans="1:31" ht="16.2" customHeight="1">
      <c r="A7" s="95" t="s">
        <v>853</v>
      </c>
      <c r="B7" s="59" t="s">
        <v>10</v>
      </c>
      <c r="C7" s="96" t="s">
        <v>9</v>
      </c>
      <c r="D7" s="72" t="s">
        <v>1197</v>
      </c>
      <c r="E7" s="72" t="s">
        <v>1179</v>
      </c>
      <c r="F7" s="312"/>
      <c r="H7" s="66" t="s">
        <v>230</v>
      </c>
      <c r="I7" s="59" t="s">
        <v>510</v>
      </c>
      <c r="K7" s="60">
        <v>5</v>
      </c>
      <c r="L7" s="106" t="s">
        <v>116</v>
      </c>
      <c r="M7" s="61"/>
      <c r="N7" s="59" t="s">
        <v>262</v>
      </c>
      <c r="O7" s="59" t="s">
        <v>256</v>
      </c>
      <c r="Q7" s="53" t="s">
        <v>172</v>
      </c>
      <c r="S7" s="53" t="s">
        <v>179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928</v>
      </c>
    </row>
    <row r="8" spans="1:31" ht="16.2" customHeight="1">
      <c r="A8" s="64" t="s">
        <v>816</v>
      </c>
      <c r="B8" s="59" t="s">
        <v>499</v>
      </c>
      <c r="C8" s="94"/>
      <c r="D8" s="66" t="s">
        <v>9</v>
      </c>
      <c r="E8" s="72" t="s">
        <v>1180</v>
      </c>
      <c r="F8" s="312"/>
      <c r="H8" s="66" t="s">
        <v>234</v>
      </c>
      <c r="I8" s="59"/>
      <c r="K8" s="60">
        <v>6</v>
      </c>
      <c r="L8" s="105" t="s">
        <v>109</v>
      </c>
      <c r="M8" s="61"/>
      <c r="N8" s="59" t="s">
        <v>263</v>
      </c>
      <c r="O8" s="59" t="s">
        <v>259</v>
      </c>
      <c r="Q8" s="53" t="s">
        <v>173</v>
      </c>
      <c r="S8" s="53" t="s">
        <v>180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929</v>
      </c>
    </row>
    <row r="9" spans="1:31" ht="16.2" customHeight="1">
      <c r="A9" s="95" t="s">
        <v>851</v>
      </c>
      <c r="B9" s="59" t="s">
        <v>198</v>
      </c>
      <c r="D9" s="66" t="s">
        <v>5</v>
      </c>
      <c r="E9" s="66" t="s">
        <v>803</v>
      </c>
      <c r="F9" s="312"/>
      <c r="H9" s="66" t="s">
        <v>231</v>
      </c>
      <c r="K9" s="60">
        <v>7</v>
      </c>
      <c r="L9" s="105" t="s">
        <v>117</v>
      </c>
      <c r="M9" s="61"/>
      <c r="N9" s="59" t="s">
        <v>263</v>
      </c>
      <c r="O9" s="59" t="s">
        <v>259</v>
      </c>
      <c r="S9" s="53" t="s">
        <v>181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930</v>
      </c>
    </row>
    <row r="10" spans="1:31" ht="16.2" customHeight="1">
      <c r="A10" s="95" t="s">
        <v>852</v>
      </c>
      <c r="B10" s="59" t="s">
        <v>498</v>
      </c>
      <c r="D10" s="66"/>
      <c r="E10" s="72" t="s">
        <v>1178</v>
      </c>
      <c r="F10" s="312"/>
      <c r="H10" s="66" t="s">
        <v>233</v>
      </c>
      <c r="K10" s="60">
        <v>8</v>
      </c>
      <c r="L10" s="107" t="s">
        <v>110</v>
      </c>
      <c r="M10" s="61" t="s">
        <v>111</v>
      </c>
      <c r="N10" s="59" t="s">
        <v>264</v>
      </c>
      <c r="O10" s="59" t="s">
        <v>260</v>
      </c>
      <c r="S10" s="53" t="s">
        <v>182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931</v>
      </c>
    </row>
    <row r="11" spans="1:31" ht="16.2" customHeight="1">
      <c r="A11" s="65" t="s">
        <v>1172</v>
      </c>
      <c r="B11" s="59" t="s">
        <v>497</v>
      </c>
      <c r="E11" s="72" t="s">
        <v>1181</v>
      </c>
      <c r="F11" s="312"/>
      <c r="H11" s="66" t="s">
        <v>232</v>
      </c>
      <c r="K11" s="60">
        <v>9</v>
      </c>
      <c r="L11" s="105" t="s">
        <v>114</v>
      </c>
      <c r="M11" s="61" t="s">
        <v>225</v>
      </c>
      <c r="N11" s="59" t="s">
        <v>264</v>
      </c>
      <c r="O11" s="59" t="s">
        <v>261</v>
      </c>
      <c r="S11" s="53" t="s">
        <v>183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932</v>
      </c>
    </row>
    <row r="12" spans="1:31" ht="16.2" customHeight="1">
      <c r="A12" s="65" t="s">
        <v>867</v>
      </c>
      <c r="B12" s="59" t="s">
        <v>758</v>
      </c>
      <c r="E12" s="66" t="s">
        <v>14</v>
      </c>
      <c r="F12" s="312"/>
      <c r="H12" s="66" t="s">
        <v>508</v>
      </c>
      <c r="K12" s="60">
        <v>10</v>
      </c>
      <c r="L12" s="105" t="s">
        <v>115</v>
      </c>
      <c r="M12" s="68" t="s">
        <v>112</v>
      </c>
      <c r="N12" s="59" t="s">
        <v>263</v>
      </c>
      <c r="O12" s="59" t="s">
        <v>261</v>
      </c>
      <c r="S12" s="53" t="s">
        <v>184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933</v>
      </c>
    </row>
    <row r="13" spans="1:31" ht="16.2" customHeight="1">
      <c r="A13" s="95" t="s">
        <v>854</v>
      </c>
      <c r="B13" s="59"/>
      <c r="E13" s="66" t="s">
        <v>15</v>
      </c>
      <c r="F13" s="312"/>
      <c r="H13" s="66" t="s">
        <v>713</v>
      </c>
      <c r="K13" s="108"/>
      <c r="L13" s="69"/>
      <c r="M13" s="69"/>
      <c r="N13" s="69"/>
      <c r="O13" s="59"/>
      <c r="S13" s="53" t="s">
        <v>185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934</v>
      </c>
    </row>
    <row r="14" spans="1:31" ht="16.2" customHeight="1">
      <c r="B14" s="97" t="s">
        <v>482</v>
      </c>
      <c r="D14" s="95" t="s">
        <v>923</v>
      </c>
      <c r="E14" s="66" t="s">
        <v>16</v>
      </c>
      <c r="F14" s="312"/>
      <c r="H14" s="66" t="s">
        <v>712</v>
      </c>
      <c r="K14" s="108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464</v>
      </c>
      <c r="D15" s="95" t="s">
        <v>12</v>
      </c>
      <c r="E15" s="72" t="s">
        <v>1182</v>
      </c>
      <c r="F15" s="312"/>
      <c r="H15" s="66"/>
      <c r="K15" s="108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465</v>
      </c>
      <c r="E16" s="72" t="s">
        <v>1174</v>
      </c>
      <c r="F16" s="312"/>
      <c r="H16" s="72" t="s">
        <v>523</v>
      </c>
      <c r="K16" s="108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466</v>
      </c>
      <c r="E17" s="72" t="s">
        <v>1183</v>
      </c>
      <c r="F17" s="312"/>
      <c r="H17" s="72" t="s">
        <v>524</v>
      </c>
      <c r="K17" s="108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467</v>
      </c>
      <c r="E18" s="72" t="s">
        <v>1184</v>
      </c>
      <c r="F18" s="312"/>
      <c r="K18" s="108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468</v>
      </c>
      <c r="E19" s="72" t="s">
        <v>1185</v>
      </c>
      <c r="F19" s="312"/>
      <c r="K19" s="59">
        <v>1</v>
      </c>
      <c r="L19" s="59" t="s">
        <v>212</v>
      </c>
      <c r="M19" s="59"/>
      <c r="N19" s="59" t="s">
        <v>216</v>
      </c>
      <c r="O19" s="59" t="s">
        <v>257</v>
      </c>
      <c r="S19" s="53" t="s">
        <v>186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199</v>
      </c>
      <c r="E20" s="66"/>
      <c r="F20" s="313"/>
      <c r="K20" s="59">
        <v>2</v>
      </c>
      <c r="L20" s="59" t="s">
        <v>211</v>
      </c>
      <c r="M20" s="59"/>
      <c r="N20" s="59" t="s">
        <v>217</v>
      </c>
      <c r="O20" s="59" t="s">
        <v>258</v>
      </c>
    </row>
    <row r="21" spans="2:24" ht="16.2" customHeight="1">
      <c r="B21" s="73" t="s">
        <v>469</v>
      </c>
      <c r="E21" s="72" t="s">
        <v>1170</v>
      </c>
      <c r="F21" s="311" t="s">
        <v>736</v>
      </c>
      <c r="K21" s="59">
        <v>3</v>
      </c>
      <c r="L21" s="59" t="s">
        <v>213</v>
      </c>
      <c r="M21" s="59"/>
      <c r="N21" s="59" t="s">
        <v>217</v>
      </c>
      <c r="O21" s="59" t="s">
        <v>258</v>
      </c>
    </row>
    <row r="22" spans="2:24" ht="16.2" customHeight="1">
      <c r="B22" s="71" t="s">
        <v>470</v>
      </c>
      <c r="E22" s="66" t="s">
        <v>1175</v>
      </c>
      <c r="F22" s="320"/>
      <c r="K22" s="59">
        <v>4</v>
      </c>
      <c r="L22" s="59" t="s">
        <v>214</v>
      </c>
      <c r="M22" s="59"/>
      <c r="N22" s="59" t="s">
        <v>217</v>
      </c>
      <c r="O22" s="59" t="s">
        <v>256</v>
      </c>
    </row>
    <row r="23" spans="2:24" ht="16.2" customHeight="1">
      <c r="B23" s="73" t="s">
        <v>471</v>
      </c>
      <c r="E23" s="66" t="s">
        <v>737</v>
      </c>
      <c r="F23" s="320"/>
      <c r="K23" s="59">
        <v>5</v>
      </c>
      <c r="L23" s="59" t="s">
        <v>219</v>
      </c>
      <c r="M23" s="59"/>
      <c r="N23" s="59" t="s">
        <v>217</v>
      </c>
      <c r="O23" s="59" t="s">
        <v>261</v>
      </c>
    </row>
    <row r="24" spans="2:24" ht="16.2" customHeight="1">
      <c r="B24" s="71" t="s">
        <v>472</v>
      </c>
      <c r="E24" s="66" t="s">
        <v>738</v>
      </c>
      <c r="F24" s="320"/>
      <c r="K24" s="59">
        <v>6</v>
      </c>
      <c r="L24" s="59" t="s">
        <v>215</v>
      </c>
      <c r="M24" s="59"/>
      <c r="N24" s="59" t="s">
        <v>217</v>
      </c>
      <c r="O24" s="59"/>
    </row>
    <row r="25" spans="2:24" ht="16.2" customHeight="1">
      <c r="B25" s="71" t="s">
        <v>473</v>
      </c>
      <c r="E25" s="72" t="s">
        <v>779</v>
      </c>
      <c r="F25" s="320"/>
      <c r="K25" s="59">
        <v>7</v>
      </c>
      <c r="L25" s="59" t="s">
        <v>220</v>
      </c>
      <c r="M25" s="59" t="s">
        <v>218</v>
      </c>
      <c r="N25" s="59" t="s">
        <v>238</v>
      </c>
      <c r="O25" s="59" t="s">
        <v>260</v>
      </c>
    </row>
    <row r="26" spans="2:24" ht="16.2" customHeight="1">
      <c r="B26" s="71" t="s">
        <v>474</v>
      </c>
      <c r="E26" s="214" t="s">
        <v>780</v>
      </c>
      <c r="F26" s="320"/>
      <c r="K26" s="59">
        <v>8</v>
      </c>
      <c r="L26" s="59" t="s">
        <v>221</v>
      </c>
      <c r="M26" s="59"/>
      <c r="N26" s="59" t="s">
        <v>238</v>
      </c>
      <c r="O26" s="59" t="s">
        <v>261</v>
      </c>
    </row>
    <row r="27" spans="2:24" ht="16.2" customHeight="1">
      <c r="B27" s="71" t="s">
        <v>475</v>
      </c>
      <c r="E27" s="214" t="s">
        <v>781</v>
      </c>
      <c r="F27" s="320"/>
      <c r="K27" s="59">
        <v>9</v>
      </c>
      <c r="L27" s="59" t="s">
        <v>222</v>
      </c>
      <c r="M27" s="59"/>
      <c r="N27" s="59" t="s">
        <v>239</v>
      </c>
      <c r="O27" s="59" t="s">
        <v>257</v>
      </c>
      <c r="Q27" s="57" t="s">
        <v>218</v>
      </c>
    </row>
    <row r="28" spans="2:24" ht="16.2" customHeight="1">
      <c r="B28" s="71" t="s">
        <v>476</v>
      </c>
      <c r="E28" s="66" t="s">
        <v>739</v>
      </c>
      <c r="F28" s="320"/>
      <c r="K28" s="59">
        <v>10</v>
      </c>
      <c r="L28" s="59" t="s">
        <v>223</v>
      </c>
      <c r="M28" s="59"/>
      <c r="N28" s="59" t="s">
        <v>240</v>
      </c>
      <c r="O28" s="59" t="s">
        <v>259</v>
      </c>
    </row>
    <row r="29" spans="2:24" ht="16.2" customHeight="1">
      <c r="B29" s="74" t="s">
        <v>477</v>
      </c>
      <c r="E29" s="66" t="s">
        <v>53</v>
      </c>
      <c r="F29" s="320"/>
      <c r="K29" s="59">
        <v>11</v>
      </c>
      <c r="L29" s="59" t="s">
        <v>224</v>
      </c>
      <c r="M29" s="59"/>
      <c r="N29" s="59" t="s">
        <v>240</v>
      </c>
      <c r="O29" s="59" t="s">
        <v>259</v>
      </c>
    </row>
    <row r="30" spans="2:24" ht="16.2" customHeight="1">
      <c r="B30" s="74" t="s">
        <v>478</v>
      </c>
      <c r="E30" s="214" t="s">
        <v>782</v>
      </c>
      <c r="F30" s="320"/>
    </row>
    <row r="31" spans="2:24" ht="16.2" customHeight="1">
      <c r="B31" s="71" t="s">
        <v>479</v>
      </c>
      <c r="E31" s="72" t="s">
        <v>783</v>
      </c>
      <c r="F31" s="320"/>
    </row>
    <row r="32" spans="2:24" ht="16.2" customHeight="1">
      <c r="B32" s="74" t="s">
        <v>480</v>
      </c>
      <c r="E32" s="72" t="s">
        <v>784</v>
      </c>
      <c r="F32" s="320"/>
    </row>
    <row r="33" spans="2:6" ht="16.2" customHeight="1">
      <c r="B33" s="74" t="s">
        <v>481</v>
      </c>
      <c r="E33" s="214" t="s">
        <v>785</v>
      </c>
      <c r="F33" s="320"/>
    </row>
    <row r="34" spans="2:6" ht="16.2" customHeight="1">
      <c r="B34" s="59" t="s">
        <v>497</v>
      </c>
      <c r="E34" s="214" t="s">
        <v>786</v>
      </c>
      <c r="F34" s="320"/>
    </row>
    <row r="35" spans="2:6" ht="16.2" customHeight="1">
      <c r="B35" s="59" t="s">
        <v>758</v>
      </c>
      <c r="E35" s="243" t="s">
        <v>1265</v>
      </c>
      <c r="F35" s="320"/>
    </row>
    <row r="36" spans="2:6" ht="16.2" customHeight="1">
      <c r="B36" s="59"/>
      <c r="E36" s="244" t="s">
        <v>1266</v>
      </c>
      <c r="F36" s="320"/>
    </row>
    <row r="37" spans="2:6" ht="27" customHeight="1">
      <c r="B37" s="97" t="s">
        <v>483</v>
      </c>
      <c r="E37" s="214" t="s">
        <v>1176</v>
      </c>
      <c r="F37" s="320"/>
    </row>
    <row r="38" spans="2:6" ht="16.2" customHeight="1">
      <c r="B38" s="71" t="s">
        <v>468</v>
      </c>
      <c r="C38" s="75"/>
      <c r="E38" s="66" t="s">
        <v>740</v>
      </c>
      <c r="F38" s="320"/>
    </row>
    <row r="39" spans="2:6" ht="16.2" customHeight="1">
      <c r="B39" s="71" t="s">
        <v>525</v>
      </c>
      <c r="C39" s="75"/>
      <c r="E39" s="72" t="s">
        <v>804</v>
      </c>
      <c r="F39" s="320"/>
    </row>
    <row r="40" spans="2:6" ht="16.2" customHeight="1">
      <c r="B40" s="71" t="s">
        <v>489</v>
      </c>
      <c r="C40" s="75"/>
      <c r="E40" s="66" t="s">
        <v>741</v>
      </c>
      <c r="F40" s="320"/>
    </row>
    <row r="41" spans="2:6" ht="16.2" customHeight="1">
      <c r="B41" s="71" t="s">
        <v>526</v>
      </c>
      <c r="C41" s="75"/>
      <c r="E41" s="66" t="s">
        <v>61</v>
      </c>
      <c r="F41" s="320"/>
    </row>
    <row r="42" spans="2:6" ht="16.2" customHeight="1">
      <c r="B42" s="71" t="s">
        <v>527</v>
      </c>
      <c r="C42" s="75"/>
      <c r="E42" s="71" t="s">
        <v>21</v>
      </c>
      <c r="F42" s="320"/>
    </row>
    <row r="43" spans="2:6" ht="16.2" customHeight="1">
      <c r="B43" s="71" t="s">
        <v>528</v>
      </c>
      <c r="C43" s="75"/>
      <c r="E43" s="66" t="s">
        <v>742</v>
      </c>
      <c r="F43" s="320"/>
    </row>
    <row r="44" spans="2:6">
      <c r="B44" s="71" t="s">
        <v>857</v>
      </c>
      <c r="C44" s="75"/>
      <c r="E44" s="66" t="s">
        <v>743</v>
      </c>
      <c r="F44" s="320"/>
    </row>
    <row r="45" spans="2:6" ht="16.2" customHeight="1">
      <c r="B45" s="71" t="s">
        <v>473</v>
      </c>
      <c r="C45" s="75"/>
      <c r="E45" s="72" t="s">
        <v>787</v>
      </c>
      <c r="F45" s="320"/>
    </row>
    <row r="46" spans="2:6">
      <c r="B46" s="71" t="s">
        <v>198</v>
      </c>
      <c r="C46" s="75"/>
      <c r="E46" s="71" t="s">
        <v>744</v>
      </c>
      <c r="F46" s="320"/>
    </row>
    <row r="47" spans="2:6">
      <c r="B47" s="71" t="s">
        <v>529</v>
      </c>
      <c r="C47" s="75"/>
      <c r="E47" s="66" t="s">
        <v>745</v>
      </c>
      <c r="F47" s="320"/>
    </row>
    <row r="48" spans="2:6">
      <c r="B48" s="71" t="s">
        <v>530</v>
      </c>
      <c r="C48" s="109"/>
      <c r="E48" s="66"/>
      <c r="F48" s="321"/>
    </row>
    <row r="49" spans="2:6">
      <c r="B49" s="71" t="s">
        <v>531</v>
      </c>
      <c r="C49" s="109"/>
      <c r="E49" s="66" t="s">
        <v>746</v>
      </c>
      <c r="F49" s="314" t="s">
        <v>6</v>
      </c>
    </row>
    <row r="50" spans="2:6">
      <c r="B50" s="71" t="s">
        <v>532</v>
      </c>
      <c r="C50" s="109"/>
      <c r="E50" s="66" t="s">
        <v>747</v>
      </c>
      <c r="F50" s="315"/>
    </row>
    <row r="51" spans="2:6">
      <c r="B51" s="71" t="s">
        <v>533</v>
      </c>
      <c r="C51" s="109"/>
      <c r="E51" s="72" t="s">
        <v>1186</v>
      </c>
      <c r="F51" s="315"/>
    </row>
    <row r="52" spans="2:6">
      <c r="B52" s="71" t="s">
        <v>534</v>
      </c>
      <c r="C52" s="109"/>
      <c r="E52" s="66" t="s">
        <v>748</v>
      </c>
      <c r="F52" s="315"/>
    </row>
    <row r="53" spans="2:6">
      <c r="B53" s="71" t="s">
        <v>535</v>
      </c>
      <c r="C53" s="109"/>
      <c r="E53" s="72" t="s">
        <v>1187</v>
      </c>
      <c r="F53" s="315"/>
    </row>
    <row r="54" spans="2:6">
      <c r="B54" s="71" t="s">
        <v>536</v>
      </c>
      <c r="C54" s="109"/>
      <c r="E54" s="66" t="s">
        <v>749</v>
      </c>
      <c r="F54" s="315"/>
    </row>
    <row r="55" spans="2:6">
      <c r="B55" s="71" t="s">
        <v>537</v>
      </c>
      <c r="C55" s="109"/>
      <c r="E55" s="66" t="s">
        <v>750</v>
      </c>
      <c r="F55" s="315"/>
    </row>
    <row r="56" spans="2:6">
      <c r="B56" s="74" t="s">
        <v>538</v>
      </c>
      <c r="C56" s="110"/>
      <c r="E56" s="66" t="s">
        <v>751</v>
      </c>
      <c r="F56" s="315"/>
    </row>
    <row r="57" spans="2:6">
      <c r="B57" s="74" t="s">
        <v>539</v>
      </c>
      <c r="C57" s="110"/>
      <c r="E57" s="66" t="s">
        <v>752</v>
      </c>
      <c r="F57" s="315"/>
    </row>
    <row r="58" spans="2:6" ht="16.2" customHeight="1">
      <c r="B58" s="74" t="s">
        <v>540</v>
      </c>
      <c r="C58" s="110"/>
      <c r="E58" s="66" t="s">
        <v>753</v>
      </c>
      <c r="F58" s="315"/>
    </row>
    <row r="59" spans="2:6" ht="16.2" customHeight="1">
      <c r="B59" s="74" t="s">
        <v>477</v>
      </c>
      <c r="C59" s="110"/>
      <c r="E59" s="66" t="s">
        <v>754</v>
      </c>
      <c r="F59" s="315"/>
    </row>
    <row r="60" spans="2:6" ht="16.2" customHeight="1">
      <c r="B60" s="74" t="s">
        <v>541</v>
      </c>
      <c r="C60" s="110"/>
      <c r="E60" s="72" t="s">
        <v>1188</v>
      </c>
      <c r="F60" s="315"/>
    </row>
    <row r="61" spans="2:6" ht="16.2" customHeight="1">
      <c r="B61" s="74" t="s">
        <v>542</v>
      </c>
      <c r="C61" s="110"/>
      <c r="E61" s="72" t="s">
        <v>1189</v>
      </c>
      <c r="F61" s="315"/>
    </row>
    <row r="62" spans="2:6" ht="16.2" customHeight="1">
      <c r="B62" s="74" t="s">
        <v>543</v>
      </c>
      <c r="C62" s="110"/>
      <c r="E62" s="72" t="s">
        <v>1190</v>
      </c>
      <c r="F62" s="315"/>
    </row>
    <row r="63" spans="2:6" ht="16.95" customHeight="1">
      <c r="B63" s="74" t="s">
        <v>621</v>
      </c>
      <c r="E63" s="72" t="s">
        <v>1191</v>
      </c>
      <c r="F63" s="315"/>
    </row>
    <row r="64" spans="2:6" ht="16.2" customHeight="1">
      <c r="B64" s="59" t="s">
        <v>497</v>
      </c>
      <c r="E64" s="66"/>
      <c r="F64" s="316"/>
    </row>
    <row r="65" spans="2:6" ht="16.2" customHeight="1">
      <c r="B65" s="59" t="s">
        <v>758</v>
      </c>
      <c r="E65" s="66" t="s">
        <v>24</v>
      </c>
      <c r="F65" s="311" t="s">
        <v>944</v>
      </c>
    </row>
    <row r="66" spans="2:6" ht="16.2" customHeight="1">
      <c r="B66" s="59"/>
      <c r="E66" s="66" t="s">
        <v>25</v>
      </c>
      <c r="F66" s="312"/>
    </row>
    <row r="67" spans="2:6" ht="27" customHeight="1">
      <c r="B67" s="97" t="s">
        <v>484</v>
      </c>
      <c r="E67" s="66" t="s">
        <v>26</v>
      </c>
      <c r="F67" s="312"/>
    </row>
    <row r="68" spans="2:6" ht="16.2" customHeight="1">
      <c r="B68" s="71" t="s">
        <v>464</v>
      </c>
      <c r="E68" s="66" t="s">
        <v>27</v>
      </c>
      <c r="F68" s="312"/>
    </row>
    <row r="69" spans="2:6" ht="16.2" customHeight="1">
      <c r="B69" s="71" t="s">
        <v>485</v>
      </c>
      <c r="E69" s="66" t="s">
        <v>28</v>
      </c>
      <c r="F69" s="312"/>
    </row>
    <row r="70" spans="2:6" ht="16.95" customHeight="1">
      <c r="B70" s="71" t="s">
        <v>486</v>
      </c>
      <c r="E70" s="66" t="s">
        <v>29</v>
      </c>
      <c r="F70" s="312"/>
    </row>
    <row r="71" spans="2:6">
      <c r="B71" s="71" t="s">
        <v>487</v>
      </c>
      <c r="E71" s="66"/>
      <c r="F71" s="313"/>
    </row>
    <row r="72" spans="2:6" ht="16.2" customHeight="1">
      <c r="B72" s="71" t="s">
        <v>488</v>
      </c>
      <c r="E72" s="66" t="s">
        <v>30</v>
      </c>
      <c r="F72" s="311" t="s">
        <v>153</v>
      </c>
    </row>
    <row r="73" spans="2:6" ht="16.2" customHeight="1">
      <c r="B73" s="71" t="s">
        <v>489</v>
      </c>
      <c r="E73" s="66" t="s">
        <v>21</v>
      </c>
      <c r="F73" s="320"/>
    </row>
    <row r="74" spans="2:6" ht="16.2" customHeight="1">
      <c r="B74" s="71" t="s">
        <v>490</v>
      </c>
      <c r="E74" s="66" t="s">
        <v>31</v>
      </c>
      <c r="F74" s="320"/>
    </row>
    <row r="75" spans="2:6" ht="16.95" customHeight="1">
      <c r="B75" s="71" t="s">
        <v>491</v>
      </c>
      <c r="E75" s="72" t="s">
        <v>1192</v>
      </c>
      <c r="F75" s="320"/>
    </row>
    <row r="76" spans="2:6" ht="16.2" customHeight="1">
      <c r="B76" s="73" t="s">
        <v>492</v>
      </c>
      <c r="E76" s="66" t="s">
        <v>32</v>
      </c>
      <c r="F76" s="320"/>
    </row>
    <row r="77" spans="2:6" ht="16.2" customHeight="1">
      <c r="B77" s="73" t="s">
        <v>493</v>
      </c>
      <c r="E77" s="72" t="s">
        <v>1193</v>
      </c>
      <c r="F77" s="320"/>
    </row>
    <row r="78" spans="2:6" ht="16.2" customHeight="1">
      <c r="B78" s="73" t="s">
        <v>494</v>
      </c>
      <c r="E78" s="66" t="s">
        <v>845</v>
      </c>
      <c r="F78" s="320"/>
    </row>
    <row r="79" spans="2:6" ht="16.2" customHeight="1">
      <c r="B79" s="73" t="s">
        <v>495</v>
      </c>
      <c r="E79" s="66"/>
      <c r="F79" s="321"/>
    </row>
    <row r="80" spans="2:6" ht="16.2" customHeight="1">
      <c r="B80" s="73" t="s">
        <v>496</v>
      </c>
      <c r="E80" s="66" t="s">
        <v>11</v>
      </c>
      <c r="F80" s="58" t="s">
        <v>11</v>
      </c>
    </row>
    <row r="81" spans="2:6" ht="16.2" customHeight="1">
      <c r="B81" s="74" t="s">
        <v>481</v>
      </c>
      <c r="E81" s="66" t="s">
        <v>33</v>
      </c>
      <c r="F81" s="311" t="s">
        <v>12</v>
      </c>
    </row>
    <row r="82" spans="2:6" ht="16.2" customHeight="1">
      <c r="B82" s="59" t="s">
        <v>497</v>
      </c>
      <c r="E82" s="66" t="s">
        <v>34</v>
      </c>
      <c r="F82" s="312"/>
    </row>
    <row r="83" spans="2:6" ht="16.2" customHeight="1">
      <c r="B83" s="59" t="s">
        <v>758</v>
      </c>
      <c r="E83" s="66" t="s">
        <v>35</v>
      </c>
      <c r="F83" s="312"/>
    </row>
    <row r="84" spans="2:6" ht="16.2" customHeight="1">
      <c r="B84" s="66"/>
      <c r="E84" s="65" t="s">
        <v>36</v>
      </c>
      <c r="F84" s="312"/>
    </row>
    <row r="85" spans="2:6" ht="16.2" customHeight="1">
      <c r="B85" s="97" t="s">
        <v>936</v>
      </c>
      <c r="E85" s="65"/>
      <c r="F85" s="313"/>
    </row>
    <row r="86" spans="2:6" ht="16.2" customHeight="1">
      <c r="B86" s="53" t="s">
        <v>866</v>
      </c>
      <c r="E86" s="65" t="s">
        <v>37</v>
      </c>
      <c r="F86" s="317" t="s">
        <v>1197</v>
      </c>
    </row>
    <row r="87" spans="2:6" ht="16.2" customHeight="1">
      <c r="B87" s="111" t="s">
        <v>858</v>
      </c>
      <c r="E87" s="219" t="s">
        <v>1194</v>
      </c>
      <c r="F87" s="318"/>
    </row>
    <row r="88" spans="2:6" ht="16.2" customHeight="1">
      <c r="B88" s="111" t="s">
        <v>859</v>
      </c>
      <c r="E88" s="65" t="s">
        <v>38</v>
      </c>
      <c r="F88" s="318"/>
    </row>
    <row r="89" spans="2:6" ht="16.2" customHeight="1">
      <c r="B89" s="111" t="s">
        <v>860</v>
      </c>
      <c r="E89" s="65" t="s">
        <v>39</v>
      </c>
      <c r="F89" s="318"/>
    </row>
    <row r="90" spans="2:6" ht="16.2" customHeight="1">
      <c r="B90" s="111" t="s">
        <v>861</v>
      </c>
      <c r="E90" s="219" t="s">
        <v>765</v>
      </c>
      <c r="F90" s="318"/>
    </row>
    <row r="91" spans="2:6" ht="16.2" customHeight="1">
      <c r="B91" s="111" t="s">
        <v>862</v>
      </c>
      <c r="E91" s="65" t="s">
        <v>40</v>
      </c>
      <c r="F91" s="318"/>
    </row>
    <row r="92" spans="2:6" ht="16.2" customHeight="1">
      <c r="B92" s="68" t="s">
        <v>863</v>
      </c>
      <c r="E92" s="65" t="s">
        <v>41</v>
      </c>
      <c r="F92" s="318"/>
    </row>
    <row r="93" spans="2:6" ht="16.95" customHeight="1">
      <c r="B93" s="59" t="s">
        <v>864</v>
      </c>
      <c r="E93" s="219" t="s">
        <v>766</v>
      </c>
      <c r="F93" s="318"/>
    </row>
    <row r="94" spans="2:6" ht="16.2" customHeight="1">
      <c r="B94" s="59" t="s">
        <v>865</v>
      </c>
      <c r="E94" s="65" t="s">
        <v>94</v>
      </c>
      <c r="F94" s="318"/>
    </row>
    <row r="95" spans="2:6" ht="16.2" customHeight="1">
      <c r="E95" s="65" t="s">
        <v>42</v>
      </c>
      <c r="F95" s="318"/>
    </row>
    <row r="96" spans="2:6" ht="16.2" customHeight="1">
      <c r="E96" s="65" t="s">
        <v>43</v>
      </c>
      <c r="F96" s="318"/>
    </row>
    <row r="97" spans="5:6" ht="16.2" customHeight="1">
      <c r="E97" s="65" t="s">
        <v>44</v>
      </c>
      <c r="F97" s="318"/>
    </row>
    <row r="98" spans="5:6" ht="16.2" customHeight="1">
      <c r="E98" s="65" t="s">
        <v>45</v>
      </c>
      <c r="F98" s="318"/>
    </row>
    <row r="99" spans="5:6" ht="16.2" customHeight="1">
      <c r="E99" s="219" t="s">
        <v>1195</v>
      </c>
      <c r="F99" s="318"/>
    </row>
    <row r="100" spans="5:6">
      <c r="E100" s="219" t="s">
        <v>767</v>
      </c>
      <c r="F100" s="318"/>
    </row>
    <row r="101" spans="5:6">
      <c r="E101" s="219" t="s">
        <v>768</v>
      </c>
      <c r="F101" s="318"/>
    </row>
    <row r="102" spans="5:6">
      <c r="E102" s="219" t="s">
        <v>769</v>
      </c>
      <c r="F102" s="318"/>
    </row>
    <row r="103" spans="5:6">
      <c r="E103" s="219" t="s">
        <v>770</v>
      </c>
      <c r="F103" s="318"/>
    </row>
    <row r="104" spans="5:6">
      <c r="E104" s="219" t="s">
        <v>842</v>
      </c>
      <c r="F104" s="318"/>
    </row>
    <row r="105" spans="5:6">
      <c r="E105" s="219" t="s">
        <v>841</v>
      </c>
      <c r="F105" s="318"/>
    </row>
    <row r="106" spans="5:6">
      <c r="E106" s="65" t="s">
        <v>838</v>
      </c>
      <c r="F106" s="318"/>
    </row>
    <row r="107" spans="5:6">
      <c r="E107" s="65"/>
      <c r="F107" s="319"/>
    </row>
    <row r="108" spans="5:6">
      <c r="E108" s="65" t="s">
        <v>46</v>
      </c>
      <c r="F108" s="311" t="s">
        <v>5</v>
      </c>
    </row>
    <row r="109" spans="5:6">
      <c r="E109" s="72" t="s">
        <v>1196</v>
      </c>
      <c r="F109" s="312"/>
    </row>
    <row r="110" spans="5:6">
      <c r="E110" s="66" t="s">
        <v>47</v>
      </c>
      <c r="F110" s="312"/>
    </row>
    <row r="111" spans="5:6">
      <c r="E111" s="198" t="s">
        <v>1370</v>
      </c>
      <c r="F111" s="312"/>
    </row>
    <row r="112" spans="5:6">
      <c r="E112" s="72" t="s">
        <v>1372</v>
      </c>
      <c r="F112" s="312"/>
    </row>
    <row r="113" spans="5:27">
      <c r="E113" s="65" t="s">
        <v>48</v>
      </c>
      <c r="F113" s="312"/>
    </row>
    <row r="114" spans="5:27">
      <c r="E114" s="72" t="s">
        <v>1373</v>
      </c>
      <c r="F114" s="312"/>
    </row>
    <row r="115" spans="5:27">
      <c r="E115" s="66"/>
      <c r="F115" s="313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H8" sqref="H8"/>
    </sheetView>
  </sheetViews>
  <sheetFormatPr defaultColWidth="8.88671875" defaultRowHeight="16.2"/>
  <cols>
    <col min="1" max="2" width="8.88671875" style="6"/>
    <col min="3" max="4" width="14.77734375" style="6" bestFit="1" customWidth="1"/>
    <col min="5" max="5" width="14.77734375" style="6" customWidth="1"/>
    <col min="6" max="6" width="12.109375" style="6" customWidth="1"/>
    <col min="7" max="7" width="6.88671875" style="6" customWidth="1"/>
    <col min="8" max="8" width="24.21875" style="6" bestFit="1" customWidth="1"/>
    <col min="9" max="9" width="10.109375" style="6" bestFit="1" customWidth="1"/>
    <col min="10" max="10" width="21.77734375" style="6" bestFit="1" customWidth="1"/>
    <col min="11" max="16384" width="8.88671875" style="6"/>
  </cols>
  <sheetData>
    <row r="1" spans="1:10">
      <c r="A1" s="322" t="s">
        <v>5</v>
      </c>
      <c r="B1" s="323"/>
      <c r="C1" s="323"/>
      <c r="D1" s="323"/>
      <c r="E1" s="323"/>
      <c r="F1" s="323"/>
      <c r="G1" s="323"/>
      <c r="H1" s="323"/>
      <c r="I1" s="323"/>
      <c r="J1" s="323"/>
    </row>
    <row r="2" spans="1:10" ht="26.4">
      <c r="A2" s="7" t="s">
        <v>95</v>
      </c>
      <c r="B2" s="7" t="s">
        <v>96</v>
      </c>
      <c r="C2" s="7" t="s">
        <v>97</v>
      </c>
      <c r="D2" s="324" t="s">
        <v>160</v>
      </c>
      <c r="E2" s="325"/>
      <c r="F2" s="8" t="s">
        <v>190</v>
      </c>
      <c r="G2" s="9" t="s">
        <v>151</v>
      </c>
      <c r="H2" s="7" t="s">
        <v>159</v>
      </c>
      <c r="I2" s="7" t="s">
        <v>98</v>
      </c>
      <c r="J2" s="7" t="s">
        <v>124</v>
      </c>
    </row>
    <row r="3" spans="1:10">
      <c r="C3" s="6" t="s">
        <v>127</v>
      </c>
      <c r="D3" s="10" t="s">
        <v>156</v>
      </c>
      <c r="E3" s="6" t="s">
        <v>144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157</v>
      </c>
      <c r="E4" s="6" t="s">
        <v>144</v>
      </c>
      <c r="F4" s="11">
        <v>0.15</v>
      </c>
      <c r="G4" s="10"/>
      <c r="H4" s="6" t="s">
        <v>123</v>
      </c>
      <c r="I4" s="6" t="s">
        <v>915</v>
      </c>
      <c r="J4" s="6" t="s">
        <v>126</v>
      </c>
    </row>
    <row r="5" spans="1:10">
      <c r="C5" s="6" t="s">
        <v>118</v>
      </c>
      <c r="D5" s="10" t="s">
        <v>158</v>
      </c>
      <c r="E5" s="13" t="s">
        <v>145</v>
      </c>
      <c r="F5" s="14">
        <v>0.05</v>
      </c>
      <c r="G5" s="15"/>
      <c r="H5" s="6" t="s">
        <v>1451</v>
      </c>
    </row>
    <row r="6" spans="1:10">
      <c r="C6" s="6" t="s">
        <v>119</v>
      </c>
      <c r="D6" s="12" t="s">
        <v>709</v>
      </c>
      <c r="E6" s="13" t="s">
        <v>145</v>
      </c>
      <c r="F6" s="14">
        <v>0.1</v>
      </c>
      <c r="G6" s="15"/>
    </row>
    <row r="7" spans="1:10">
      <c r="E7" s="13" t="s">
        <v>146</v>
      </c>
      <c r="F7" s="14">
        <v>0.05</v>
      </c>
      <c r="G7" s="15"/>
    </row>
    <row r="8" spans="1:10">
      <c r="E8" s="13" t="s">
        <v>146</v>
      </c>
      <c r="F8" s="14">
        <v>7.4999999999999997E-2</v>
      </c>
      <c r="G8" s="15"/>
    </row>
    <row r="9" spans="1:10">
      <c r="E9" s="6" t="s">
        <v>147</v>
      </c>
      <c r="F9" s="11">
        <v>0.1</v>
      </c>
      <c r="G9" s="10"/>
    </row>
    <row r="10" spans="1:10">
      <c r="E10" s="6" t="s">
        <v>148</v>
      </c>
      <c r="F10" s="11">
        <v>0.1</v>
      </c>
      <c r="G10" s="10"/>
    </row>
    <row r="11" spans="1:10">
      <c r="E11" s="6" t="s">
        <v>149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2"/>
  <cols>
    <col min="2" max="2" width="15.44140625" bestFit="1" customWidth="1"/>
    <col min="3" max="3" width="14.109375" customWidth="1"/>
    <col min="4" max="4" width="8.21875" bestFit="1" customWidth="1"/>
    <col min="5" max="5" width="15" bestFit="1" customWidth="1"/>
  </cols>
  <sheetData>
    <row r="1" spans="1:15">
      <c r="A1" s="326" t="s">
        <v>75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</row>
    <row r="2" spans="1:15" ht="39.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200</v>
      </c>
    </row>
    <row r="4" spans="1:15">
      <c r="C4" t="s">
        <v>201</v>
      </c>
    </row>
    <row r="5" spans="1:15">
      <c r="C5" t="s">
        <v>202</v>
      </c>
    </row>
    <row r="6" spans="1:15">
      <c r="C6" t="s">
        <v>203</v>
      </c>
    </row>
    <row r="7" spans="1:15">
      <c r="C7" t="s">
        <v>204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2"/>
  <cols>
    <col min="12" max="12" width="8.88671875" customWidth="1"/>
    <col min="13" max="13" width="8.21875" customWidth="1"/>
  </cols>
  <sheetData>
    <row r="1" spans="1:13">
      <c r="A1" s="326" t="s">
        <v>76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</row>
    <row r="2" spans="1:13" ht="39.6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2"/>
  <cols>
    <col min="6" max="6" width="9.44140625" customWidth="1"/>
  </cols>
  <sheetData>
    <row r="1" spans="1:6">
      <c r="A1" s="326" t="s">
        <v>93</v>
      </c>
      <c r="B1" s="327"/>
      <c r="C1" s="327"/>
      <c r="D1" s="327"/>
      <c r="E1" s="327"/>
      <c r="F1" s="327"/>
    </row>
    <row r="2" spans="1:6" ht="26.4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K33"/>
  <sheetViews>
    <sheetView workbookViewId="0">
      <selection activeCell="E20" sqref="E20"/>
    </sheetView>
  </sheetViews>
  <sheetFormatPr defaultRowHeight="16.2"/>
  <cols>
    <col min="1" max="1" width="20.33203125" bestFit="1" customWidth="1"/>
    <col min="2" max="2" width="20.44140625" bestFit="1" customWidth="1"/>
    <col min="3" max="3" width="23.6640625" customWidth="1"/>
    <col min="4" max="6" width="27.5546875" bestFit="1" customWidth="1"/>
    <col min="8" max="8" width="9.44140625" bestFit="1" customWidth="1"/>
    <col min="11" max="11" width="11.6640625" bestFit="1" customWidth="1"/>
  </cols>
  <sheetData>
    <row r="1" spans="1:6">
      <c r="A1" s="18" t="s">
        <v>197</v>
      </c>
      <c r="B1" s="18" t="s">
        <v>1449</v>
      </c>
      <c r="C1" s="18" t="s">
        <v>1450</v>
      </c>
      <c r="D1" s="18" t="s">
        <v>1452</v>
      </c>
      <c r="E1" s="18" t="s">
        <v>1453</v>
      </c>
      <c r="F1" s="18" t="s">
        <v>1454</v>
      </c>
    </row>
    <row r="2" spans="1:6" ht="16.8" thickBot="1">
      <c r="A2" t="s">
        <v>129</v>
      </c>
      <c r="B2" s="259" t="s">
        <v>1442</v>
      </c>
      <c r="C2" s="259" t="s">
        <v>1442</v>
      </c>
      <c r="D2" s="259" t="s">
        <v>236</v>
      </c>
      <c r="E2" s="259" t="s">
        <v>835</v>
      </c>
      <c r="F2" s="259" t="s">
        <v>236</v>
      </c>
    </row>
    <row r="3" spans="1:6" ht="16.8" thickBot="1">
      <c r="A3" t="s">
        <v>67</v>
      </c>
      <c r="B3" s="259" t="s">
        <v>67</v>
      </c>
      <c r="C3" s="259" t="s">
        <v>67</v>
      </c>
      <c r="D3" s="259" t="s">
        <v>835</v>
      </c>
      <c r="E3" s="259" t="s">
        <v>836</v>
      </c>
      <c r="F3" s="259" t="s">
        <v>835</v>
      </c>
    </row>
    <row r="4" spans="1:6" ht="16.8" thickBot="1">
      <c r="A4" s="2" t="s">
        <v>162</v>
      </c>
      <c r="B4" s="259" t="s">
        <v>1439</v>
      </c>
      <c r="C4" s="259" t="s">
        <v>1448</v>
      </c>
      <c r="D4" s="259" t="s">
        <v>836</v>
      </c>
      <c r="E4" s="259" t="s">
        <v>237</v>
      </c>
      <c r="F4" s="259" t="s">
        <v>836</v>
      </c>
    </row>
    <row r="5" spans="1:6" ht="16.8" thickBot="1">
      <c r="A5" s="2" t="s">
        <v>191</v>
      </c>
      <c r="B5" s="259" t="s">
        <v>1443</v>
      </c>
      <c r="D5" s="259" t="s">
        <v>549</v>
      </c>
      <c r="E5" s="259" t="s">
        <v>549</v>
      </c>
      <c r="F5" s="259" t="s">
        <v>549</v>
      </c>
    </row>
    <row r="6" spans="1:6" ht="16.8" thickBot="1">
      <c r="A6" s="2" t="s">
        <v>163</v>
      </c>
      <c r="B6" s="259" t="s">
        <v>1440</v>
      </c>
    </row>
    <row r="7" spans="1:6" ht="16.8" thickBot="1">
      <c r="A7" s="2" t="s">
        <v>164</v>
      </c>
      <c r="B7" s="259" t="s">
        <v>1441</v>
      </c>
    </row>
    <row r="8" spans="1:6" ht="16.8" thickBot="1">
      <c r="A8" s="2" t="s">
        <v>165</v>
      </c>
      <c r="B8" s="259" t="s">
        <v>192</v>
      </c>
    </row>
    <row r="9" spans="1:6" ht="16.8" thickBot="1">
      <c r="A9" s="2" t="s">
        <v>166</v>
      </c>
      <c r="B9" s="259" t="s">
        <v>1444</v>
      </c>
    </row>
    <row r="10" spans="1:6" ht="16.8" thickBot="1">
      <c r="A10" s="2" t="s">
        <v>193</v>
      </c>
      <c r="B10" s="259" t="s">
        <v>1445</v>
      </c>
    </row>
    <row r="11" spans="1:6" ht="16.8" thickBot="1">
      <c r="A11" s="2" t="s">
        <v>194</v>
      </c>
      <c r="B11" s="259" t="s">
        <v>1446</v>
      </c>
    </row>
    <row r="12" spans="1:6" ht="16.8" thickBot="1">
      <c r="A12" s="2" t="s">
        <v>195</v>
      </c>
      <c r="B12" s="259" t="s">
        <v>1447</v>
      </c>
    </row>
    <row r="13" spans="1:6" ht="16.8" thickBot="1">
      <c r="A13" s="256" t="s">
        <v>236</v>
      </c>
      <c r="B13" s="259" t="s">
        <v>1448</v>
      </c>
    </row>
    <row r="14" spans="1:6">
      <c r="A14" s="260" t="s">
        <v>835</v>
      </c>
      <c r="B14" s="258"/>
    </row>
    <row r="15" spans="1:6">
      <c r="A15" s="261" t="s">
        <v>836</v>
      </c>
      <c r="B15" s="257"/>
    </row>
    <row r="16" spans="1:6">
      <c r="A16" s="256" t="s">
        <v>237</v>
      </c>
      <c r="B16" s="257"/>
    </row>
    <row r="17" spans="1:11">
      <c r="A17" s="2" t="s">
        <v>167</v>
      </c>
      <c r="B17" s="257"/>
      <c r="J17" s="19"/>
    </row>
    <row r="18" spans="1:11">
      <c r="A18" t="s">
        <v>192</v>
      </c>
    </row>
    <row r="19" spans="1:11">
      <c r="A19" s="2" t="s">
        <v>235</v>
      </c>
    </row>
    <row r="20" spans="1:11">
      <c r="A20" s="2"/>
    </row>
    <row r="21" spans="1:11">
      <c r="A21" s="3" t="s">
        <v>241</v>
      </c>
      <c r="K21" s="20"/>
    </row>
    <row r="22" spans="1:11">
      <c r="A22" s="3" t="s">
        <v>242</v>
      </c>
    </row>
    <row r="23" spans="1:11">
      <c r="A23" s="3" t="s">
        <v>205</v>
      </c>
    </row>
    <row r="24" spans="1:11">
      <c r="A24" s="3" t="s">
        <v>243</v>
      </c>
    </row>
    <row r="25" spans="1:11">
      <c r="A25" s="4" t="s">
        <v>244</v>
      </c>
    </row>
    <row r="26" spans="1:11">
      <c r="A26" s="21" t="s">
        <v>837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8671875" defaultRowHeight="16.8"/>
  <cols>
    <col min="1" max="1" width="24.109375" style="34" bestFit="1" customWidth="1"/>
    <col min="2" max="2" width="29.6640625" style="36" bestFit="1" customWidth="1"/>
    <col min="3" max="3" width="5" style="34" customWidth="1"/>
    <col min="4" max="4" width="8.88671875" style="39"/>
    <col min="5" max="5" width="46.88671875" style="39" hidden="1" customWidth="1"/>
    <col min="6" max="6" width="28.77734375" style="36" bestFit="1" customWidth="1"/>
    <col min="7" max="7" width="27.5546875" style="40" bestFit="1" customWidth="1"/>
    <col min="8" max="8" width="17.109375" style="39" bestFit="1" customWidth="1"/>
    <col min="9" max="9" width="13.44140625" style="39" customWidth="1"/>
    <col min="10" max="11" width="11.21875" style="39" customWidth="1"/>
    <col min="12" max="12" width="12.5546875" style="39" customWidth="1"/>
    <col min="13" max="13" width="11.6640625" style="39" customWidth="1"/>
    <col min="14" max="14" width="11.21875" style="34" bestFit="1" customWidth="1"/>
    <col min="15" max="15" width="11.6640625" style="39" customWidth="1"/>
    <col min="16" max="16" width="11.21875" style="39" customWidth="1"/>
    <col min="17" max="17" width="14" style="39" customWidth="1"/>
    <col min="18" max="18" width="14.5546875" style="39" customWidth="1"/>
    <col min="19" max="16384" width="8.88671875" style="34"/>
  </cols>
  <sheetData>
    <row r="1" spans="1:18" s="25" customFormat="1">
      <c r="A1" s="24" t="s">
        <v>622</v>
      </c>
      <c r="B1" s="24"/>
      <c r="D1" s="26"/>
      <c r="E1" s="27"/>
      <c r="F1" s="24"/>
      <c r="G1" s="28" t="s">
        <v>547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155</v>
      </c>
      <c r="B2" s="30" t="s">
        <v>517</v>
      </c>
      <c r="C2" s="27"/>
      <c r="D2" s="29" t="s">
        <v>101</v>
      </c>
      <c r="E2" s="29" t="s">
        <v>947</v>
      </c>
      <c r="F2" s="30" t="s">
        <v>948</v>
      </c>
      <c r="G2" s="31" t="s">
        <v>949</v>
      </c>
      <c r="H2" s="32"/>
      <c r="I2" s="33"/>
      <c r="J2" s="33"/>
      <c r="K2" s="33"/>
      <c r="L2" s="33"/>
      <c r="M2" s="33"/>
      <c r="N2" s="177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950</v>
      </c>
      <c r="E3" s="23" t="str">
        <f>F3&amp;G3</f>
        <v>T0.05Mylar透明</v>
      </c>
      <c r="F3" s="23" t="str">
        <f>$D$3&amp;$A$2</f>
        <v>T0.05Mylar</v>
      </c>
      <c r="G3" s="35" t="s">
        <v>760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951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761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545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78"/>
      <c r="E7" s="179" t="str">
        <f t="shared" si="0"/>
        <v>T0.05MylarDK_10</v>
      </c>
      <c r="F7" s="179" t="str">
        <f>$D$3&amp;$A$2</f>
        <v>T0.05Mylar</v>
      </c>
      <c r="G7" s="180" t="s">
        <v>952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549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706</v>
      </c>
      <c r="E10" s="23" t="str">
        <f t="shared" si="0"/>
        <v>T0.075MylarPC1860</v>
      </c>
      <c r="F10" s="23" t="str">
        <f>$D$10&amp;$A$2</f>
        <v>T0.075Mylar</v>
      </c>
      <c r="G10" s="35" t="s">
        <v>545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554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549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953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954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955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626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760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544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761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545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554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78"/>
      <c r="E21" s="179" t="str">
        <f t="shared" si="0"/>
        <v>T0.1MylarDK_10</v>
      </c>
      <c r="F21" s="179" t="str">
        <f t="shared" si="2"/>
        <v>T0.1Mylar</v>
      </c>
      <c r="G21" s="180" t="s">
        <v>952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549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615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553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554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956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556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78"/>
      <c r="E28" s="179" t="str">
        <f t="shared" si="0"/>
        <v>T0.125MylarPC-DF8D32</v>
      </c>
      <c r="F28" s="179" t="str">
        <f t="shared" si="3"/>
        <v>T0.125Mylar</v>
      </c>
      <c r="G28" s="180" t="s">
        <v>957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549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958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553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554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556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959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555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78"/>
      <c r="E36" s="179" t="str">
        <f t="shared" si="0"/>
        <v>T0.175MylarPC-DF8D32</v>
      </c>
      <c r="F36" s="179" t="str">
        <f t="shared" si="4"/>
        <v>T0.175Mylar</v>
      </c>
      <c r="G36" s="180" t="s">
        <v>957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549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557</v>
      </c>
      <c r="E39" s="23" t="str">
        <f t="shared" si="0"/>
        <v>T0.188MylarPET6027D</v>
      </c>
      <c r="F39" s="23" t="str">
        <f>$D$39&amp;$A$2</f>
        <v>T0.188Mylar</v>
      </c>
      <c r="G39" s="23" t="s">
        <v>551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552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544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761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549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729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553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544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554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545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556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761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546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959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78"/>
      <c r="E53" s="179" t="str">
        <f t="shared" si="0"/>
        <v>T0.25MylarPC-DF8D32</v>
      </c>
      <c r="F53" s="179" t="str">
        <f t="shared" si="5"/>
        <v>T0.25Mylar</v>
      </c>
      <c r="G53" s="180" t="s">
        <v>957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960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961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962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963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545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959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516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78"/>
      <c r="E61" s="179" t="str">
        <f t="shared" si="0"/>
        <v>T0.38MylarPC-DF8D32</v>
      </c>
      <c r="F61" s="179" t="str">
        <f t="shared" si="6"/>
        <v>T0.38Mylar</v>
      </c>
      <c r="G61" s="180" t="s">
        <v>957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960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964</v>
      </c>
      <c r="E64" s="23" t="str">
        <f t="shared" si="0"/>
        <v>T0.43MylarDFR_BK_PP</v>
      </c>
      <c r="F64" s="23" t="str">
        <f>$D$64&amp;$A$2</f>
        <v>T0.43Mylar</v>
      </c>
      <c r="G64" s="35" t="s">
        <v>965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545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966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967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968</v>
      </c>
      <c r="E69" s="23" t="str">
        <f t="shared" si="0"/>
        <v>T0.5MylarPC8010</v>
      </c>
      <c r="F69" s="23" t="str">
        <f>$D$69&amp;$A$2</f>
        <v>T0.5Mylar</v>
      </c>
      <c r="G69" s="35" t="s">
        <v>969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970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545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78"/>
      <c r="E72" s="179" t="str">
        <f t="shared" si="0"/>
        <v>T0.5MylarPC-DF8D32</v>
      </c>
      <c r="F72" s="179" t="str">
        <f>$D$69&amp;$A$2</f>
        <v>T0.5Mylar</v>
      </c>
      <c r="G72" s="180" t="s">
        <v>971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549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972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973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555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554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549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558</v>
      </c>
      <c r="E80" s="23" t="str">
        <f t="shared" si="7"/>
        <v>T0.8MylarPC8010</v>
      </c>
      <c r="F80" s="23" t="str">
        <f>$D$80&amp;$A$2</f>
        <v>T0.8Mylar</v>
      </c>
      <c r="G80" s="35" t="s">
        <v>516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959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549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559</v>
      </c>
      <c r="E84" s="23" t="str">
        <f t="shared" si="7"/>
        <v>T1.0MylarPC8010</v>
      </c>
      <c r="F84" s="23" t="str">
        <f>$D$84&amp;$A$2</f>
        <v>T1.0Mylar</v>
      </c>
      <c r="G84" s="35" t="s">
        <v>516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959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545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960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974</v>
      </c>
      <c r="B92" s="30" t="s">
        <v>517</v>
      </c>
      <c r="D92" s="29" t="s">
        <v>101</v>
      </c>
      <c r="E92" s="29" t="s">
        <v>975</v>
      </c>
      <c r="F92" s="30" t="s">
        <v>517</v>
      </c>
      <c r="G92" s="31" t="s">
        <v>154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78">
        <v>1</v>
      </c>
      <c r="B93" s="179" t="str">
        <f>D93&amp;$A92</f>
        <v>T0.2Sponge</v>
      </c>
      <c r="C93" s="24"/>
      <c r="D93" s="22" t="s">
        <v>560</v>
      </c>
      <c r="E93" s="23" t="str">
        <f>F93&amp;G93</f>
        <v>T0.2SpongeKVH200</v>
      </c>
      <c r="F93" s="23" t="str">
        <f>D93&amp;$A$92</f>
        <v>T0.2Sponge</v>
      </c>
      <c r="G93" s="35" t="s">
        <v>207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78">
        <v>2</v>
      </c>
      <c r="B94" s="179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976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78">
        <v>3</v>
      </c>
      <c r="B95" s="179" t="str">
        <f>D103&amp;$A92</f>
        <v>T0.4Sponge</v>
      </c>
      <c r="C95" s="24"/>
      <c r="D95" s="178"/>
      <c r="E95" s="179" t="str">
        <f>F95&amp;G95</f>
        <v>T0.2SpongePORON_SRS70P</v>
      </c>
      <c r="F95" s="179" t="str">
        <f>D93&amp;$A$92</f>
        <v>T0.2Sponge</v>
      </c>
      <c r="G95" s="180" t="s">
        <v>977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549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78">
        <v>5</v>
      </c>
      <c r="B97" s="179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78">
        <v>6</v>
      </c>
      <c r="B98" s="179" t="str">
        <f>D125&amp;$A$92</f>
        <v>T0.7Sponge</v>
      </c>
      <c r="C98" s="24"/>
      <c r="D98" s="22" t="s">
        <v>562</v>
      </c>
      <c r="E98" s="23" t="str">
        <f>F98&amp;G98</f>
        <v>T0.3SpongeKVH200</v>
      </c>
      <c r="F98" s="23" t="str">
        <f>D98&amp;$A$92</f>
        <v>T0.3Sponge</v>
      </c>
      <c r="G98" s="35" t="s">
        <v>207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978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78">
        <v>8</v>
      </c>
      <c r="B100" s="179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979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549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565</v>
      </c>
      <c r="E103" s="23" t="str">
        <f>F103&amp;G103</f>
        <v>T0.4SpongeKVH200</v>
      </c>
      <c r="F103" s="23" t="str">
        <f>D103&amp;$A$92</f>
        <v>T0.4Sponge</v>
      </c>
      <c r="G103" s="35" t="s">
        <v>207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980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967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968</v>
      </c>
      <c r="E107" s="23" t="str">
        <f t="shared" si="8"/>
        <v>T0.5SpongeCR1015</v>
      </c>
      <c r="F107" s="23" t="str">
        <f>D107&amp;$A$92</f>
        <v>T0.5Sponge</v>
      </c>
      <c r="G107" s="35" t="s">
        <v>981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982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983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626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984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985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150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570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207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986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78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566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987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988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549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989</v>
      </c>
      <c r="E121" s="23" t="str">
        <f t="shared" si="8"/>
        <v>T0.6SpongePORON_SRS32P</v>
      </c>
      <c r="F121" s="23" t="str">
        <f>$D$121&amp;$A$92</f>
        <v>T0.6Sponge</v>
      </c>
      <c r="G121" s="35" t="s">
        <v>561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566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990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991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572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992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993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994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995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561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549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558</v>
      </c>
      <c r="E133" s="23" t="str">
        <f t="shared" si="8"/>
        <v>T0.8SpongeCR1015</v>
      </c>
      <c r="F133" s="23" t="str">
        <f>$D$133&amp;$A$92</f>
        <v>T0.8Sponge</v>
      </c>
      <c r="G133" s="35" t="s">
        <v>143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207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570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995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549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996</v>
      </c>
      <c r="E139" s="23" t="str">
        <f t="shared" si="8"/>
        <v>T0.9SpongePORON_SRS24P</v>
      </c>
      <c r="F139" s="23" t="str">
        <f>D139&amp;$A$92</f>
        <v>T0.9Sponge</v>
      </c>
      <c r="G139" s="35" t="s">
        <v>995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997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998</v>
      </c>
      <c r="E142" s="23" t="str">
        <f t="shared" si="8"/>
        <v>T1.0SpongeEVA</v>
      </c>
      <c r="F142" s="23" t="str">
        <f>D142&amp;$A$92</f>
        <v>T1.0Sponge</v>
      </c>
      <c r="G142" s="35" t="s">
        <v>999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1000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983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573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1001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569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150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570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1002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1003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78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1004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1005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1006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1007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561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549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563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575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1008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572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207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1002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570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1009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1006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1010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995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78"/>
      <c r="E169" s="179" t="str">
        <f t="shared" si="12"/>
        <v>T1.5SpongeLV100</v>
      </c>
      <c r="F169" s="179" t="str">
        <f>D159&amp;$A$92</f>
        <v>T1.5Sponge</v>
      </c>
      <c r="G169" s="180" t="s">
        <v>986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960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1011</v>
      </c>
      <c r="E172" s="23" t="str">
        <f t="shared" si="8"/>
        <v>T2.0SpongeCR1015</v>
      </c>
      <c r="F172" s="23" t="str">
        <f>D172&amp;$A$92</f>
        <v>T2.0Sponge</v>
      </c>
      <c r="G172" s="35" t="s">
        <v>575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572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570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1001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574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571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561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1012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78"/>
      <c r="E180" s="179" t="str">
        <f t="shared" si="8"/>
        <v>T2.0SpongeLV100</v>
      </c>
      <c r="F180" s="179" t="str">
        <f>D172&amp;$A$92</f>
        <v>T2.0Sponge</v>
      </c>
      <c r="G180" s="180" t="s">
        <v>1013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967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1015</v>
      </c>
      <c r="E183" s="23" t="str">
        <f t="shared" si="8"/>
        <v>T2.5SpongeCR1015</v>
      </c>
      <c r="F183" s="23" t="str">
        <f>D183&amp;$A$92</f>
        <v>T2.5Sponge</v>
      </c>
      <c r="G183" s="35" t="s">
        <v>575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1016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570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574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207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150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571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960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1017</v>
      </c>
      <c r="E192" s="23" t="str">
        <f t="shared" si="13"/>
        <v>T3.0SpongeCR1015</v>
      </c>
      <c r="F192" s="23" t="str">
        <f>D192&amp;$A$92</f>
        <v>T3.0Sponge</v>
      </c>
      <c r="G192" s="35" t="s">
        <v>1000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570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572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1018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1001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571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995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1019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1020</v>
      </c>
      <c r="E201" s="23" t="str">
        <f t="shared" si="13"/>
        <v>T3.5SpongeE4308</v>
      </c>
      <c r="F201" s="23" t="str">
        <f>D201&amp;$A$92</f>
        <v>T3.5Sponge</v>
      </c>
      <c r="G201" s="35" t="s">
        <v>1021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570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576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549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577</v>
      </c>
      <c r="E206" s="23" t="str">
        <f t="shared" si="13"/>
        <v>T4.0SpongeCR1015</v>
      </c>
      <c r="F206" s="23" t="str">
        <f>D206&amp;$A$92</f>
        <v>T4.0Sponge</v>
      </c>
      <c r="G206" s="35" t="s">
        <v>143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570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1001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571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549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568</v>
      </c>
      <c r="E212" s="23" t="str">
        <f t="shared" si="13"/>
        <v>T4.5SpongeEVA</v>
      </c>
      <c r="F212" s="23" t="str">
        <f>D212&amp;$A$92</f>
        <v>T4.5Sponge</v>
      </c>
      <c r="G212" s="35" t="s">
        <v>567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570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1021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573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576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990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1022</v>
      </c>
      <c r="E219" s="23" t="str">
        <f t="shared" si="13"/>
        <v>T5.0SpongeCR1015</v>
      </c>
      <c r="F219" s="23" t="str">
        <f>D219&amp;$A$92</f>
        <v>T5.0Sponge</v>
      </c>
      <c r="G219" s="35" t="s">
        <v>1023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570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1024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1025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549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81"/>
      <c r="M226" s="181"/>
      <c r="N226" s="37"/>
      <c r="O226" s="22"/>
      <c r="P226" s="22"/>
      <c r="Q226" s="22"/>
      <c r="R226" s="22"/>
    </row>
    <row r="227" spans="1:18">
      <c r="A227" s="29" t="s">
        <v>623</v>
      </c>
      <c r="B227" s="30" t="s">
        <v>517</v>
      </c>
      <c r="C227" s="25"/>
      <c r="D227" s="29" t="s">
        <v>101</v>
      </c>
      <c r="E227" s="29" t="s">
        <v>975</v>
      </c>
      <c r="F227" s="30" t="s">
        <v>517</v>
      </c>
      <c r="G227" s="31" t="s">
        <v>515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548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578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579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580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581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626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707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708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1026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967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1027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1028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627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78"/>
      <c r="E239" s="179" t="str">
        <f t="shared" si="15"/>
        <v>T0.06ProtectionMX6500</v>
      </c>
      <c r="F239" s="179" t="str">
        <f>D237&amp;$A$227</f>
        <v>T0.06Protection</v>
      </c>
      <c r="G239" s="182" t="s">
        <v>1029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967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1030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1031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1032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967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1033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1034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1035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1036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1037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1038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582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583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1039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81"/>
      <c r="L256" s="22"/>
      <c r="M256" s="181"/>
      <c r="N256" s="37"/>
      <c r="O256" s="181"/>
      <c r="P256" s="181"/>
      <c r="Q256" s="181"/>
      <c r="R256" s="22"/>
    </row>
    <row r="257" spans="1:18">
      <c r="A257" s="29" t="s">
        <v>1040</v>
      </c>
      <c r="B257" s="30" t="s">
        <v>1041</v>
      </c>
      <c r="C257" s="25"/>
      <c r="D257" s="29" t="s">
        <v>1042</v>
      </c>
      <c r="E257" s="29" t="s">
        <v>1043</v>
      </c>
      <c r="F257" s="30" t="s">
        <v>1041</v>
      </c>
      <c r="G257" s="31" t="s">
        <v>1040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1044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1045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1046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78">
        <v>3</v>
      </c>
      <c r="B260" s="179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1047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1048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1049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1050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1051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1052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585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1053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1054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960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1055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1056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1057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586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587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1058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1059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588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1060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608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1061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549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1062</v>
      </c>
      <c r="E282" s="23" t="str">
        <f t="shared" si="17"/>
        <v>T0.07AdhesiveDSTT_7N</v>
      </c>
      <c r="F282" s="23" t="str">
        <f>D282&amp;$A$257</f>
        <v>T0.07Adhesive</v>
      </c>
      <c r="G282" s="46" t="s">
        <v>522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549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78" t="s">
        <v>1063</v>
      </c>
      <c r="E285" s="179" t="str">
        <f t="shared" si="17"/>
        <v>T0.08Adhesive3M244</v>
      </c>
      <c r="F285" s="179" t="str">
        <f>D285&amp;$A$257</f>
        <v>T0.08Adhesive</v>
      </c>
      <c r="G285" s="180" t="s">
        <v>1064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550</v>
      </c>
      <c r="E287" s="23" t="str">
        <f t="shared" si="17"/>
        <v>T0.1AdhesiveDS_10B</v>
      </c>
      <c r="F287" s="23" t="str">
        <f>D287&amp;$A$257</f>
        <v>T0.1Adhesive</v>
      </c>
      <c r="G287" s="46" t="s">
        <v>589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521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590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591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1065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78"/>
      <c r="E292" s="179" t="str">
        <f t="shared" si="17"/>
        <v>T0.1AdhesiveTESA_60504</v>
      </c>
      <c r="F292" s="179" t="str">
        <f>D287&amp;$A$257</f>
        <v>T0.1Adhesive</v>
      </c>
      <c r="G292" s="183" t="s">
        <v>1066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1067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1019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1068</v>
      </c>
      <c r="E296" s="23" t="str">
        <f>F296&amp;G296</f>
        <v>T0.13AdhesiveDSTT_13N</v>
      </c>
      <c r="F296" s="23" t="str">
        <f>D296&amp;$A$257</f>
        <v>T0.13Adhesive</v>
      </c>
      <c r="G296" s="46" t="s">
        <v>628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592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997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1069</v>
      </c>
      <c r="E300" s="23" t="str">
        <f t="shared" si="17"/>
        <v>T0.15AdhesiveDS_15</v>
      </c>
      <c r="F300" s="23" t="str">
        <f>D300&amp;$A$257</f>
        <v>T0.15Adhesive</v>
      </c>
      <c r="G300" s="46" t="s">
        <v>1070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1071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1072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1073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1074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1075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1076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593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1077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594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595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596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597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1078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78"/>
      <c r="E314" s="179" t="str">
        <f>F314&amp;G314</f>
        <v>T0.15AdhesiveTESA_62622</v>
      </c>
      <c r="F314" s="179" t="str">
        <f>D300&amp;$A$257</f>
        <v>T0.15Adhesive</v>
      </c>
      <c r="G314" s="183" t="s">
        <v>1079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1019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1080</v>
      </c>
      <c r="E317" s="23" t="str">
        <f t="shared" si="17"/>
        <v>T0.2AdhesiveDS_20</v>
      </c>
      <c r="F317" s="23" t="str">
        <f>D317&amp;$A$257</f>
        <v>T0.2Adhesive</v>
      </c>
      <c r="G317" s="46" t="s">
        <v>1081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520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519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518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1082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1083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1039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1084</v>
      </c>
      <c r="E325" s="23" t="str">
        <f t="shared" si="18"/>
        <v>T0.25AdhesiveSLR1125</v>
      </c>
      <c r="F325" s="23" t="str">
        <f>D325&amp;$A$257</f>
        <v>T0.25Adhesive</v>
      </c>
      <c r="G325" s="46" t="s">
        <v>1085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1086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1087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1088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78"/>
      <c r="E329" s="179" t="str">
        <f t="shared" si="18"/>
        <v>T0.25Adhesive3M_250HL</v>
      </c>
      <c r="F329" s="179" t="str">
        <f>D325&amp;$A$257</f>
        <v>T0.25Adhesive</v>
      </c>
      <c r="G329" s="183" t="s">
        <v>1089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78"/>
      <c r="E330" s="179" t="str">
        <f t="shared" si="18"/>
        <v>T0.25AdhesiveFT_5295</v>
      </c>
      <c r="F330" s="179" t="str">
        <f>D325&amp;$A$257</f>
        <v>T0.25Adhesive</v>
      </c>
      <c r="G330" s="183" t="s">
        <v>1090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1019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1091</v>
      </c>
      <c r="E333" s="23" t="str">
        <f>F333&amp;G333</f>
        <v>T0.3AdhesiveNITTO_GA6330</v>
      </c>
      <c r="F333" s="23" t="str">
        <f>D333&amp;$A$257</f>
        <v>T0.3Adhesive</v>
      </c>
      <c r="G333" s="46" t="s">
        <v>1092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598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599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78"/>
      <c r="R335" s="178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600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967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1093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1094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601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602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603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604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78"/>
      <c r="E344" s="179" t="str">
        <f t="shared" si="19"/>
        <v>T0.4AdhesiveTESA_62648</v>
      </c>
      <c r="F344" s="179" t="str">
        <f>D339&amp;$A$257</f>
        <v>T0.4Adhesive</v>
      </c>
      <c r="G344" s="183" t="s">
        <v>1095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78"/>
      <c r="E345" s="179" t="str">
        <f t="shared" si="19"/>
        <v>T0.4AdhesiveTESA_70640</v>
      </c>
      <c r="F345" s="179" t="str">
        <f>D339&amp;$A$257</f>
        <v>T0.4Adhesive</v>
      </c>
      <c r="G345" s="183" t="s">
        <v>1096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1019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1097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1098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605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606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607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967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1099</v>
      </c>
      <c r="E354" s="23" t="str">
        <f t="shared" si="19"/>
        <v>T0.7AdhesiveSDTT_7N</v>
      </c>
      <c r="F354" s="23" t="str">
        <f>D354&amp;$A$257</f>
        <v>T0.7Adhesive</v>
      </c>
      <c r="G354" s="46" t="s">
        <v>629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967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1100</v>
      </c>
      <c r="E357" s="23" t="str">
        <f>F357&amp;G357</f>
        <v>T0.8AdhesiveNITTO_DY_080N</v>
      </c>
      <c r="F357" s="23" t="str">
        <f>D357&amp;$A$257</f>
        <v>T0.8Adhesive</v>
      </c>
      <c r="G357" s="46" t="s">
        <v>630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1101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549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81"/>
      <c r="M362" s="181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975</v>
      </c>
      <c r="F363" s="30" t="s">
        <v>517</v>
      </c>
      <c r="G363" s="29" t="s">
        <v>1102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1103</v>
      </c>
      <c r="E364" s="23" t="str">
        <f>F364&amp;G364</f>
        <v>T0.12非阻燃醋酸非阻燃醋酸膠布</v>
      </c>
      <c r="F364" s="23" t="s">
        <v>1104</v>
      </c>
      <c r="G364" s="23" t="s">
        <v>1105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1106</v>
      </c>
      <c r="E365" s="23" t="str">
        <f>F365&amp;G365</f>
        <v>T0.25非阻燃醋酸非阻燃醋酸膠布</v>
      </c>
      <c r="F365" s="23" t="s">
        <v>1107</v>
      </c>
      <c r="G365" s="23" t="s">
        <v>1108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1109</v>
      </c>
      <c r="G366" s="23" t="s">
        <v>840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81"/>
      <c r="L370" s="181"/>
      <c r="M370" s="181"/>
      <c r="N370" s="37"/>
      <c r="O370" s="181"/>
      <c r="P370" s="181"/>
      <c r="Q370" s="181"/>
      <c r="R370" s="22"/>
    </row>
    <row r="371" spans="1:18">
      <c r="A371" s="29" t="s">
        <v>625</v>
      </c>
      <c r="B371" s="30" t="s">
        <v>517</v>
      </c>
      <c r="D371" s="29" t="s">
        <v>101</v>
      </c>
      <c r="E371" s="29" t="s">
        <v>975</v>
      </c>
      <c r="F371" s="30" t="s">
        <v>517</v>
      </c>
      <c r="G371" s="30" t="s">
        <v>624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550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609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549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710</v>
      </c>
      <c r="E376" s="23" t="str">
        <f t="shared" si="20"/>
        <v>T0.15AbsorberG566_10</v>
      </c>
      <c r="F376" s="23" t="str">
        <f>D376&amp;$A$371</f>
        <v>T0.15Absorber</v>
      </c>
      <c r="G376" s="52" t="s">
        <v>610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997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1110</v>
      </c>
      <c r="E379" s="23" t="str">
        <f t="shared" si="20"/>
        <v>T0.2AbsorberG566_20</v>
      </c>
      <c r="F379" s="23" t="str">
        <f>D379&amp;$A$371</f>
        <v>T0.2Absorber</v>
      </c>
      <c r="G379" s="52" t="s">
        <v>1111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1112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549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549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729</v>
      </c>
      <c r="E383" s="23" t="str">
        <f t="shared" si="20"/>
        <v>T0.25AbsorberG566_25</v>
      </c>
      <c r="F383" s="23" t="str">
        <f>D383&amp;$A$371</f>
        <v>T0.25Absorber</v>
      </c>
      <c r="G383" s="52" t="s">
        <v>611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549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562</v>
      </c>
      <c r="E386" s="23" t="str">
        <f t="shared" si="20"/>
        <v>T0.3Absorber3M_AB5030</v>
      </c>
      <c r="F386" s="23" t="str">
        <f>D386&amp;$A$371</f>
        <v>T0.3Absorber</v>
      </c>
      <c r="G386" s="52" t="s">
        <v>1113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1114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549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844</v>
      </c>
      <c r="E390" s="23" t="str">
        <f t="shared" si="20"/>
        <v>T0.35AbsorberG566_30</v>
      </c>
      <c r="F390" s="23" t="str">
        <f>D390&amp;$A$371</f>
        <v>T0.35Absorber</v>
      </c>
      <c r="G390" s="52" t="s">
        <v>612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967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1115</v>
      </c>
      <c r="E394" s="23" t="str">
        <f t="shared" si="20"/>
        <v>T0.55AbsorberG566_50</v>
      </c>
      <c r="F394" s="23" t="str">
        <f>D394&amp;$A$371</f>
        <v>T0.55Absorber</v>
      </c>
      <c r="G394" s="52" t="s">
        <v>1116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549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559</v>
      </c>
      <c r="E397" s="23" t="str">
        <f t="shared" si="20"/>
        <v>T1.0AbsorberYJC75100</v>
      </c>
      <c r="F397" s="23" t="str">
        <f>D397&amp;$A$371</f>
        <v>T1.0Absorber</v>
      </c>
      <c r="G397" s="52" t="s">
        <v>613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549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1014</v>
      </c>
      <c r="E400" s="23" t="str">
        <f t="shared" si="20"/>
        <v>T2.5AbsorberYJC75200</v>
      </c>
      <c r="F400" s="23" t="str">
        <f>D400&amp;$A$371</f>
        <v>T2.5Absorber</v>
      </c>
      <c r="G400" s="52" t="s">
        <v>614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549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81"/>
      <c r="M404" s="181"/>
      <c r="N404" s="37"/>
      <c r="O404" s="22"/>
      <c r="P404" s="22"/>
      <c r="Q404" s="22"/>
      <c r="R404" s="22"/>
    </row>
    <row r="405" spans="1:18">
      <c r="A405" s="29" t="s">
        <v>805</v>
      </c>
      <c r="B405" s="30" t="s">
        <v>517</v>
      </c>
      <c r="C405" s="25"/>
      <c r="D405" s="29" t="s">
        <v>101</v>
      </c>
      <c r="E405" s="29" t="s">
        <v>975</v>
      </c>
      <c r="F405" s="30" t="s">
        <v>805</v>
      </c>
      <c r="G405" s="31" t="s">
        <v>517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84" t="str">
        <f>F406</f>
        <v>Non_UL導電布灰</v>
      </c>
      <c r="C406" s="25"/>
      <c r="D406" s="22" t="s">
        <v>1117</v>
      </c>
      <c r="E406" s="23" t="str">
        <f t="shared" ref="E406" si="21">F406&amp;G406</f>
        <v>Non_UL導電布灰T0.085</v>
      </c>
      <c r="F406" s="35" t="s">
        <v>1118</v>
      </c>
      <c r="G406" s="23" t="s">
        <v>1117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84" t="str">
        <f>F407</f>
        <v>UL導電布灰</v>
      </c>
      <c r="C407" s="25"/>
      <c r="D407" s="22" t="s">
        <v>1068</v>
      </c>
      <c r="E407" s="23" t="str">
        <f>F407&amp;G407</f>
        <v>UL導電布灰T0.13</v>
      </c>
      <c r="F407" s="35" t="s">
        <v>1119</v>
      </c>
      <c r="G407" s="23" t="s">
        <v>1068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84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727</v>
      </c>
      <c r="G408" s="23" t="s">
        <v>584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84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726</v>
      </c>
      <c r="G409" s="23" t="s">
        <v>584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728</v>
      </c>
      <c r="G410" s="23" t="s">
        <v>584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549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81"/>
      <c r="M425" s="181"/>
      <c r="N425" s="37"/>
      <c r="O425" s="22"/>
      <c r="P425" s="22"/>
      <c r="Q425" s="22"/>
      <c r="R425" s="22"/>
    </row>
    <row r="426" spans="1:18">
      <c r="A426" s="29" t="s">
        <v>1120</v>
      </c>
      <c r="B426" s="30" t="s">
        <v>517</v>
      </c>
      <c r="C426" s="25"/>
      <c r="D426" s="29" t="s">
        <v>101</v>
      </c>
      <c r="E426" s="29" t="s">
        <v>975</v>
      </c>
      <c r="F426" s="30" t="s">
        <v>1120</v>
      </c>
      <c r="G426" s="31" t="s">
        <v>517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730</v>
      </c>
      <c r="C427" s="25"/>
      <c r="D427" s="263">
        <v>1</v>
      </c>
      <c r="E427" s="264" t="str">
        <f t="shared" ref="E427:E444" si="23">F427&amp;G427</f>
        <v>ULGasket灰一般厚度</v>
      </c>
      <c r="F427" s="265" t="s">
        <v>730</v>
      </c>
      <c r="G427" s="265" t="s">
        <v>1455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734</v>
      </c>
      <c r="C428" s="25"/>
      <c r="D428" s="263">
        <v>2</v>
      </c>
      <c r="E428" s="264" t="str">
        <f t="shared" si="23"/>
        <v>Non_ULGasket灰一般厚度</v>
      </c>
      <c r="F428" s="265" t="s">
        <v>734</v>
      </c>
      <c r="G428" s="265" t="s">
        <v>1455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731</v>
      </c>
      <c r="C429" s="25"/>
      <c r="D429" s="263">
        <v>3</v>
      </c>
      <c r="E429" s="264" t="str">
        <f t="shared" si="23"/>
        <v>ULGasket黑一般厚度</v>
      </c>
      <c r="F429" s="265" t="s">
        <v>731</v>
      </c>
      <c r="G429" s="265" t="s">
        <v>1455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732</v>
      </c>
      <c r="D430" s="263">
        <v>4</v>
      </c>
      <c r="E430" s="264" t="str">
        <f t="shared" si="23"/>
        <v>Non_ULGasket黑一般厚度</v>
      </c>
      <c r="F430" s="265" t="s">
        <v>732</v>
      </c>
      <c r="G430" s="265" t="s">
        <v>1455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733</v>
      </c>
      <c r="C431" s="25"/>
      <c r="D431" s="22">
        <v>5</v>
      </c>
      <c r="E431" s="23" t="str">
        <f t="shared" si="23"/>
        <v>UL_Eco_FormT1.0</v>
      </c>
      <c r="F431" s="35" t="s">
        <v>733</v>
      </c>
      <c r="G431" s="23" t="s">
        <v>559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735</v>
      </c>
      <c r="C432" s="27"/>
      <c r="D432" s="22">
        <v>6</v>
      </c>
      <c r="E432" s="23" t="str">
        <f t="shared" si="23"/>
        <v>Non_UL_Eco_FormT1.0</v>
      </c>
      <c r="F432" s="35" t="s">
        <v>735</v>
      </c>
      <c r="G432" s="23" t="s">
        <v>559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549</v>
      </c>
      <c r="C433" s="24"/>
      <c r="D433" s="22">
        <v>7</v>
      </c>
      <c r="E433" s="23" t="str">
        <f t="shared" si="23"/>
        <v>UL_Eco_FormT1.5</v>
      </c>
      <c r="F433" s="35" t="s">
        <v>733</v>
      </c>
      <c r="G433" s="23" t="s">
        <v>563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735</v>
      </c>
      <c r="G434" s="23" t="s">
        <v>563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733</v>
      </c>
      <c r="G435" s="23" t="s">
        <v>564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733</v>
      </c>
      <c r="B436" s="23" t="s">
        <v>559</v>
      </c>
      <c r="C436" s="24"/>
      <c r="D436" s="22">
        <v>10</v>
      </c>
      <c r="E436" s="23" t="str">
        <f t="shared" si="23"/>
        <v>Non_UL_Eco_FormT2.0</v>
      </c>
      <c r="F436" s="35" t="s">
        <v>735</v>
      </c>
      <c r="G436" s="23" t="s">
        <v>564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563</v>
      </c>
      <c r="C437" s="24"/>
      <c r="D437" s="22">
        <v>11</v>
      </c>
      <c r="E437" s="23" t="str">
        <f t="shared" si="23"/>
        <v>Other_Fill_ME_Remark</v>
      </c>
      <c r="F437" s="35" t="s">
        <v>549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564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549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735</v>
      </c>
      <c r="B441" s="23" t="s">
        <v>559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563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564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549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81"/>
      <c r="M446" s="181"/>
      <c r="N446" s="37"/>
      <c r="O446" s="22"/>
      <c r="P446" s="22"/>
      <c r="Q446" s="22"/>
      <c r="R446" s="22"/>
    </row>
    <row r="447" spans="1:18">
      <c r="A447" s="230" t="s">
        <v>1121</v>
      </c>
      <c r="B447" s="231" t="s">
        <v>1122</v>
      </c>
      <c r="C447" s="24"/>
      <c r="D447" s="230" t="s">
        <v>1123</v>
      </c>
      <c r="E447" s="230" t="s">
        <v>1124</v>
      </c>
      <c r="F447" s="231" t="s">
        <v>1122</v>
      </c>
      <c r="G447" s="232" t="s">
        <v>1121</v>
      </c>
      <c r="H447" s="233"/>
      <c r="I447" s="233"/>
      <c r="J447" s="234"/>
      <c r="K447" s="234"/>
      <c r="L447" s="234"/>
      <c r="M447" s="234"/>
      <c r="N447" s="235"/>
      <c r="O447" s="234"/>
      <c r="P447" s="234"/>
      <c r="Q447" s="234"/>
      <c r="R447" s="234"/>
    </row>
    <row r="448" spans="1:18">
      <c r="A448" s="22">
        <v>1</v>
      </c>
      <c r="B448" s="23" t="str">
        <f>D448&amp;$A$447</f>
        <v>T0.125Mesh</v>
      </c>
      <c r="C448" s="24"/>
      <c r="D448" s="22" t="s">
        <v>1125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1126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1127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1128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78"/>
      <c r="E451" s="179" t="str">
        <f t="shared" si="24"/>
        <v>T0.125MeshHY_5080</v>
      </c>
      <c r="F451" s="179" t="str">
        <f>D448&amp;$A$447</f>
        <v>T0.125Mesh</v>
      </c>
      <c r="G451" s="182" t="s">
        <v>1129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967</v>
      </c>
      <c r="C452" s="24"/>
      <c r="D452" s="22"/>
      <c r="E452" s="23" t="str">
        <f t="shared" si="24"/>
        <v>Other_Fill_ME_Remark</v>
      </c>
      <c r="F452" s="23"/>
      <c r="G452" s="35" t="s">
        <v>967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1130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1126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967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1131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1127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967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1106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1126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967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42" t="s">
        <v>1370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81"/>
      <c r="M464" s="181"/>
      <c r="N464" s="37"/>
      <c r="O464" s="22"/>
      <c r="P464" s="22"/>
      <c r="Q464" s="22"/>
      <c r="R464" s="22"/>
    </row>
    <row r="465" spans="1:18">
      <c r="A465" s="29" t="s">
        <v>1369</v>
      </c>
      <c r="B465" s="30" t="s">
        <v>1122</v>
      </c>
      <c r="C465" s="24"/>
      <c r="D465" s="29" t="s">
        <v>1123</v>
      </c>
      <c r="E465" s="29" t="s">
        <v>1124</v>
      </c>
      <c r="F465" s="30" t="s">
        <v>1122</v>
      </c>
      <c r="G465" s="30" t="s">
        <v>1132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1133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1134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78"/>
      <c r="E467" s="179" t="str">
        <f>F467&amp;G467</f>
        <v>T0.05_AlCuCu_Mylar_不含背膠</v>
      </c>
      <c r="F467" s="179" t="str">
        <f>D466&amp;$A$465</f>
        <v>T0.05_AlCu</v>
      </c>
      <c r="G467" s="179" t="s">
        <v>1135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1136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78"/>
      <c r="E469" s="179" t="str">
        <f t="shared" si="25"/>
        <v>T0.05_AlCu軟銅_不含背膠</v>
      </c>
      <c r="F469" s="179" t="str">
        <f>D466&amp;$A$465</f>
        <v>T0.05_AlCu</v>
      </c>
      <c r="G469" s="185" t="s">
        <v>1137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1138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1139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756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626</v>
      </c>
      <c r="D473" s="22"/>
      <c r="E473" s="23" t="str">
        <f t="shared" si="26"/>
        <v>Other_Fill_ME_Remark</v>
      </c>
      <c r="F473" s="23"/>
      <c r="G473" s="23" t="s">
        <v>1138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1140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1141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967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1033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1134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78"/>
      <c r="E479" s="179" t="str">
        <f t="shared" si="26"/>
        <v>T0.1_AlCuCu_Mylar_不含背膠</v>
      </c>
      <c r="F479" s="185" t="str">
        <f>D478&amp;$A$465</f>
        <v>T0.1_AlCu</v>
      </c>
      <c r="G479" s="179" t="s">
        <v>1142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1143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763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764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549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710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756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764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762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78"/>
      <c r="E488" s="179" t="str">
        <f t="shared" si="26"/>
        <v>T0.15_AlCuCu_Mylar_不含背膠</v>
      </c>
      <c r="F488" s="185" t="str">
        <f>D485&amp;$A$465</f>
        <v>T0.15_AlCu</v>
      </c>
      <c r="G488" s="179" t="s">
        <v>1144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997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1145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756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549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729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757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1019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36" t="s">
        <v>1366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81"/>
      <c r="M498" s="181"/>
      <c r="N498" s="37"/>
      <c r="O498" s="22"/>
      <c r="P498" s="22"/>
      <c r="Q498" s="22"/>
      <c r="R498" s="22"/>
    </row>
    <row r="499" spans="1:18">
      <c r="A499" s="29" t="s">
        <v>1365</v>
      </c>
      <c r="B499" s="30" t="s">
        <v>1146</v>
      </c>
      <c r="D499" s="29" t="s">
        <v>1147</v>
      </c>
      <c r="E499" s="29" t="s">
        <v>1148</v>
      </c>
      <c r="F499" s="30" t="s">
        <v>1146</v>
      </c>
      <c r="G499" s="31" t="s">
        <v>1365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1091</v>
      </c>
      <c r="E500" s="23" t="str">
        <f>F500&amp;G500</f>
        <v>T0.3Lens雙面硬化 0.3 PMMA</v>
      </c>
      <c r="F500" s="23" t="str">
        <f>D500&amp;$A$499</f>
        <v>T0.3Lens</v>
      </c>
      <c r="G500" s="35" t="s">
        <v>616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1019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1149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617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1019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626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1150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618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1019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1151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619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1019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1152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620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1019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81"/>
      <c r="M516" s="181"/>
      <c r="N516" s="37"/>
      <c r="O516" s="22"/>
      <c r="P516" s="22"/>
      <c r="Q516" s="22"/>
      <c r="R516" s="22"/>
    </row>
    <row r="517" spans="1:18">
      <c r="A517" s="29" t="s">
        <v>1153</v>
      </c>
      <c r="B517" s="30" t="s">
        <v>1146</v>
      </c>
      <c r="D517" s="29" t="s">
        <v>1147</v>
      </c>
      <c r="E517" s="29" t="s">
        <v>1148</v>
      </c>
      <c r="F517" s="30" t="s">
        <v>1154</v>
      </c>
      <c r="G517" s="29" t="s">
        <v>1154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81">
        <v>1</v>
      </c>
      <c r="B518" s="186" t="s">
        <v>1155</v>
      </c>
      <c r="D518" s="22" t="s">
        <v>1156</v>
      </c>
      <c r="E518" s="186" t="str">
        <f>F518&amp;G518</f>
        <v>非阻燃醋酸膠布T0.12Acetate</v>
      </c>
      <c r="F518" s="186" t="s">
        <v>1155</v>
      </c>
      <c r="G518" s="186" t="s">
        <v>1157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86" t="s">
        <v>840</v>
      </c>
      <c r="D519" s="22" t="s">
        <v>729</v>
      </c>
      <c r="E519" s="186" t="str">
        <f>F519&amp;G519</f>
        <v>非阻燃醋酸膠布T0.25Acetate</v>
      </c>
      <c r="F519" s="186" t="s">
        <v>839</v>
      </c>
      <c r="G519" s="186" t="s">
        <v>1158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626</v>
      </c>
      <c r="D520" s="22" t="s">
        <v>729</v>
      </c>
      <c r="E520" s="186" t="str">
        <f>F520&amp;G520</f>
        <v>阻燃醋酸膠布T0.25Acetate</v>
      </c>
      <c r="F520" s="186" t="s">
        <v>840</v>
      </c>
      <c r="G520" s="186" t="s">
        <v>1158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1019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81"/>
      <c r="M524" s="181"/>
      <c r="N524" s="37"/>
      <c r="O524" s="22"/>
      <c r="P524" s="22"/>
      <c r="Q524" s="22"/>
      <c r="R524" s="22"/>
    </row>
    <row r="525" spans="1:18">
      <c r="A525" s="29" t="s">
        <v>843</v>
      </c>
      <c r="B525" s="30" t="s">
        <v>517</v>
      </c>
      <c r="D525" s="29" t="s">
        <v>101</v>
      </c>
      <c r="E525" s="29" t="s">
        <v>975</v>
      </c>
      <c r="F525" s="30" t="s">
        <v>1159</v>
      </c>
      <c r="G525" s="29" t="s">
        <v>1159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1160</v>
      </c>
      <c r="D526" s="22" t="s">
        <v>729</v>
      </c>
      <c r="E526" s="186" t="str">
        <f>F526&amp;G526</f>
        <v>非阻燃黑色不織布T0.25Non_Woven</v>
      </c>
      <c r="F526" s="23" t="s">
        <v>1160</v>
      </c>
      <c r="G526" s="186" t="s">
        <v>1161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1162</v>
      </c>
      <c r="D527" s="22" t="s">
        <v>1106</v>
      </c>
      <c r="E527" s="186" t="str">
        <f>F527&amp;G527</f>
        <v>阻燃黑色不織布T0.25Non_Woven</v>
      </c>
      <c r="F527" s="23" t="s">
        <v>1162</v>
      </c>
      <c r="G527" s="186" t="s">
        <v>1163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626</v>
      </c>
      <c r="D528" s="22" t="s">
        <v>1164</v>
      </c>
      <c r="E528" s="186" t="str">
        <f>F528&amp;G528</f>
        <v>阻燃黑色不織布T0.35Non_Woven</v>
      </c>
      <c r="F528" s="186" t="s">
        <v>1162</v>
      </c>
      <c r="G528" s="186" t="s">
        <v>1165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1019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已命名的範圍</vt:lpstr>
      </vt:variant>
      <vt:variant>
        <vt:i4>220</vt:i4>
      </vt:variant>
    </vt:vector>
  </HeadingPairs>
  <TitlesOfParts>
    <vt:vector size="232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2019-12-12T02:42:07Z</dcterms:modified>
</cp:coreProperties>
</file>